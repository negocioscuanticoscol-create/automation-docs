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racker" sheetId="1" state="visible" r:id="rId1"/>
    <sheet xmlns:r="http://schemas.openxmlformats.org/officeDocument/2006/relationships" name="🗺️ Roadmap" sheetId="2" state="visible" r:id="rId2"/>
    <sheet xmlns:r="http://schemas.openxmlformats.org/officeDocument/2006/relationships" name="📊 KPIs" sheetId="3" state="visible" r:id="rId3"/>
    <sheet xmlns:r="http://schemas.openxmlformats.org/officeDocument/2006/relationships" name="🛠️ 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444444"/>
      <sz val="9"/>
    </font>
    <font>
      <name val="Arial"/>
      <b val="1"/>
      <color rgb="00444444"/>
      <sz val="9"/>
    </font>
    <font>
      <name val="Arial"/>
      <b val="1"/>
      <i val="1"/>
      <color rgb="004B0082"/>
      <sz val="9"/>
    </font>
    <font>
      <name val="Arial"/>
      <i val="1"/>
      <color rgb="004B0082"/>
      <sz val="9"/>
    </font>
    <font>
      <name val="Arial"/>
      <b val="1"/>
      <color rgb="00FFFFFF"/>
      <sz val="10"/>
    </font>
    <font>
      <name val="Arial"/>
      <b val="1"/>
      <color rgb="001F4E78"/>
      <sz val="9"/>
    </font>
    <font>
      <name val="Arial"/>
      <b val="1"/>
      <i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1">
    <dxf>
      <font>
        <name val="Arial"/>
        <b val="1"/>
        <color rgb="00375623"/>
        <sz val="9"/>
      </font>
      <fill>
        <patternFill patternType="solid">
          <fgColor rgb="00C6EFCE"/>
        </patternFill>
      </fill>
    </dxf>
    <dxf>
      <font>
        <name val="Arial"/>
        <b val="1"/>
        <color rgb="007D5A00"/>
        <sz val="9"/>
      </font>
      <fill>
        <patternFill patternType="solid">
          <fgColor rgb="00FFEB9C"/>
        </patternFill>
      </fill>
    </dxf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  <dxf>
      <font>
        <name val="Arial"/>
        <color rgb="001F4E78"/>
        <sz val="9"/>
      </font>
      <fill>
        <patternFill patternType="solid">
          <fgColor rgb="00BDD7EE"/>
        </patternFill>
      </fill>
    </dxf>
    <dxf>
      <font>
        <name val="Arial"/>
        <b val="1"/>
        <color rgb="009C0006"/>
        <sz val="9"/>
      </font>
    </dxf>
    <dxf>
      <font>
        <name val="Arial"/>
        <b val="1"/>
        <color rgb="007D5A00"/>
        <sz val="9"/>
      </font>
    </dxf>
    <dxf>
      <font>
        <name val="Arial"/>
        <color rgb="00375623"/>
        <sz val="9"/>
      </font>
    </dxf>
    <dxf>
      <font>
        <name val="Arial"/>
        <i val="1"/>
        <color rgb="004B0082"/>
        <sz val="9"/>
      </font>
      <fill>
        <patternFill patternType="solid">
          <fgColor rgb="00EDE7F6"/>
        </patternFill>
      </fill>
    </dxf>
    <dxf>
      <font>
        <name val="Arial"/>
        <color rgb="00375623"/>
        <sz val="9"/>
      </font>
      <fill>
        <patternFill patternType="solid">
          <fgColor rgb="00C6EFCE"/>
        </patternFill>
      </fill>
    </dxf>
    <dxf>
      <font>
        <name val="Arial"/>
        <color rgb="007D5A00"/>
        <sz val="9"/>
      </font>
      <fill>
        <patternFill patternType="solid">
          <fgColor rgb="00FFEB9C"/>
        </patternFill>
      </fill>
    </dxf>
    <dxf>
      <font>
        <name val="Arial"/>
        <color rgb="004B0082"/>
        <sz val="9"/>
      </font>
      <fill>
        <patternFill patternType="solid">
          <fgColor rgb="00EDE7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4" customWidth="1" min="3" max="3"/>
    <col width="16" customWidth="1" min="4" max="4"/>
    <col width="15" customWidth="1" min="5" max="5"/>
    <col width="40" customWidth="1" min="6" max="6"/>
    <col width="11" customWidth="1" min="7" max="7"/>
    <col width="13" customWidth="1" min="8" max="8"/>
    <col width="11" customWidth="1" min="9" max="9"/>
    <col width="16" customWidth="1" min="10" max="10"/>
    <col width="14" customWidth="1" min="11" max="11"/>
    <col width="26" customWidth="1" min="12" max="12"/>
    <col width="26" customWidth="1" min="13" max="13"/>
  </cols>
  <sheetData>
    <row r="1" ht="38" customHeight="1">
      <c r="A1" s="1" t="inlineStr">
        <is>
          <t>🚀  NEGOCIOS CUANTICOS  ·  Sistema de Automatización  ·  Proyecto Piloto → Escala</t>
        </is>
      </c>
    </row>
    <row r="2" ht="26" customHeight="1">
      <c r="A2" s="2" t="inlineStr">
        <is>
          <t>Sem</t>
        </is>
      </c>
      <c r="B2" s="2" t="inlineStr">
        <is>
          <t>Fecha</t>
        </is>
      </c>
      <c r="C2" s="2" t="inlineStr">
        <is>
          <t>Tarea</t>
        </is>
      </c>
      <c r="D2" s="2" t="inlineStr">
        <is>
          <t>Módulo</t>
        </is>
      </c>
      <c r="E2" s="2" t="inlineStr">
        <is>
          <t>Fase</t>
        </is>
      </c>
      <c r="F2" s="2" t="inlineStr">
        <is>
          <t>Descripción</t>
        </is>
      </c>
      <c r="G2" s="2" t="inlineStr">
        <is>
          <t>Resp.</t>
        </is>
      </c>
      <c r="H2" s="2" t="inlineStr">
        <is>
          <t>Estado</t>
        </is>
      </c>
      <c r="I2" s="2" t="inlineStr">
        <is>
          <t>Prioridad</t>
        </is>
      </c>
      <c r="J2" s="2" t="inlineStr">
        <is>
          <t>Negocio</t>
        </is>
      </c>
      <c r="K2" s="2" t="inlineStr">
        <is>
          <t>Herramienta</t>
        </is>
      </c>
      <c r="L2" s="2" t="inlineStr">
        <is>
          <t>KPI / Output</t>
        </is>
      </c>
      <c r="M2" s="2" t="inlineStr">
        <is>
          <t>Notas</t>
        </is>
      </c>
    </row>
    <row r="3" ht="22" customHeight="1">
      <c r="A3" s="3" t="n">
        <v>1</v>
      </c>
      <c r="B3" s="4" t="n">
        <v>46102</v>
      </c>
      <c r="C3" s="3" t="inlineStr">
        <is>
          <t>Reunión con cliente — definir piloto</t>
        </is>
      </c>
      <c r="D3" s="3" t="inlineStr">
        <is>
          <t>Estrategia</t>
        </is>
      </c>
      <c r="E3" s="3" t="inlineStr">
        <is>
          <t>Planeación</t>
        </is>
      </c>
      <c r="F3" s="5" t="inlineStr">
        <is>
          <t>Reunión sábado: elegir negocio piloto, acordar modelo económico (setup+mensualidad+comisión), revisar flujos del Drive</t>
        </is>
      </c>
      <c r="G3" s="3" t="inlineStr">
        <is>
          <t>Valentina</t>
        </is>
      </c>
      <c r="H3" s="3" t="inlineStr">
        <is>
          <t>Done</t>
        </is>
      </c>
      <c r="I3" s="3" t="inlineStr">
        <is>
          <t>High</t>
        </is>
      </c>
      <c r="J3" s="3" t="inlineStr">
        <is>
          <t>Negocios Cuanticos</t>
        </is>
      </c>
      <c r="K3" s="3" t="inlineStr">
        <is>
          <t>Presencial</t>
        </is>
      </c>
      <c r="L3" s="5" t="inlineStr">
        <is>
          <t>Acta con decisiones firmadas</t>
        </is>
      </c>
      <c r="M3" s="5" t="inlineStr">
        <is>
          <t>Salir con negocio piloto definido</t>
        </is>
      </c>
    </row>
    <row r="4" ht="22" customHeight="1">
      <c r="A4" s="6" t="n">
        <v>1</v>
      </c>
      <c r="B4" s="7" t="n">
        <v>46102</v>
      </c>
      <c r="C4" s="6" t="inlineStr">
        <is>
          <t>Documentar acuerdos económicos</t>
        </is>
      </c>
      <c r="D4" s="6" t="inlineStr">
        <is>
          <t>Estrategia</t>
        </is>
      </c>
      <c r="E4" s="6" t="inlineStr">
        <is>
          <t>Planeación</t>
        </is>
      </c>
      <c r="F4" s="8" t="inlineStr">
        <is>
          <t>Formalizar: setup fee, mensualidad por negocio, % comisión por tipo de venta</t>
        </is>
      </c>
      <c r="G4" s="6" t="inlineStr">
        <is>
          <t>Valentina</t>
        </is>
      </c>
      <c r="H4" s="6" t="inlineStr">
        <is>
          <t>Done</t>
        </is>
      </c>
      <c r="I4" s="6" t="inlineStr">
        <is>
          <t>High</t>
        </is>
      </c>
      <c r="J4" s="6" t="inlineStr">
        <is>
          <t>Negocios Cuanticos</t>
        </is>
      </c>
      <c r="K4" s="6" t="inlineStr">
        <is>
          <t>Google Docs</t>
        </is>
      </c>
      <c r="L4" s="8" t="inlineStr">
        <is>
          <t>Acuerdo firmado o por escrito</t>
        </is>
      </c>
      <c r="M4" s="8" t="inlineStr"/>
    </row>
    <row r="5" ht="22" customHeight="1">
      <c r="A5" s="3" t="n">
        <v>1</v>
      </c>
      <c r="B5" s="4" t="n">
        <v>46104</v>
      </c>
      <c r="C5" s="3" t="inlineStr">
        <is>
          <t>Revisar Drive del cliente</t>
        </is>
      </c>
      <c r="D5" s="3" t="inlineStr">
        <is>
          <t>Organización</t>
        </is>
      </c>
      <c r="E5" s="3" t="inlineStr">
        <is>
          <t>Análisis</t>
        </is>
      </c>
      <c r="F5" s="5" t="inlineStr">
        <is>
          <t>Auditar carpetas compartidas. Identificar catálogos, listas clientes, registros de pedidos, contratos proveedores</t>
        </is>
      </c>
      <c r="G5" s="3" t="inlineStr">
        <is>
          <t>Daniel</t>
        </is>
      </c>
      <c r="H5" s="3" t="inlineStr">
        <is>
          <t>In Progress</t>
        </is>
      </c>
      <c r="I5" s="3" t="inlineStr">
        <is>
          <t>High</t>
        </is>
      </c>
      <c r="J5" s="3" t="inlineStr">
        <is>
          <t>Negocios Cuanticos</t>
        </is>
      </c>
      <c r="K5" s="3" t="inlineStr">
        <is>
          <t>Google Drive</t>
        </is>
      </c>
      <c r="L5" s="5" t="inlineStr">
        <is>
          <t>Mapa de información disponible</t>
        </is>
      </c>
      <c r="M5" s="5" t="inlineStr">
        <is>
          <t>Hay mucho desorden — priorizar lo crítico</t>
        </is>
      </c>
    </row>
    <row r="6" ht="22" customHeight="1">
      <c r="A6" s="6" t="n">
        <v>1</v>
      </c>
      <c r="B6" s="7" t="n">
        <v>46104</v>
      </c>
      <c r="C6" s="6" t="inlineStr">
        <is>
          <t>Mapear flujo AS-IS negocio piloto</t>
        </is>
      </c>
      <c r="D6" s="6" t="inlineStr">
        <is>
          <t>Ventas</t>
        </is>
      </c>
      <c r="E6" s="6" t="inlineStr">
        <is>
          <t>Análisis</t>
        </is>
      </c>
      <c r="F6" s="8" t="inlineStr">
        <is>
          <t>Cómo llega hoy una cotización, cuánto tarda, cómo se cierra, cómo se calcula la comisión</t>
        </is>
      </c>
      <c r="G6" s="6" t="inlineStr">
        <is>
          <t>Valentina</t>
        </is>
      </c>
      <c r="H6" s="6" t="inlineStr">
        <is>
          <t>In Progress</t>
        </is>
      </c>
      <c r="I6" s="6" t="inlineStr">
        <is>
          <t>High</t>
        </is>
      </c>
      <c r="J6" s="6" t="inlineStr">
        <is>
          <t>Piloto</t>
        </is>
      </c>
      <c r="K6" s="6" t="inlineStr">
        <is>
          <t>Manual</t>
        </is>
      </c>
      <c r="L6" s="8" t="inlineStr">
        <is>
          <t>Diagrama flujo actual documentado</t>
        </is>
      </c>
      <c r="M6" s="8" t="inlineStr">
        <is>
          <t>Base para diseñar la automatización</t>
        </is>
      </c>
    </row>
    <row r="7" ht="22" customHeight="1">
      <c r="A7" s="3" t="n">
        <v>1</v>
      </c>
      <c r="B7" s="4" t="n">
        <v>46105</v>
      </c>
      <c r="C7" s="3" t="inlineStr">
        <is>
          <t>Ver video n8n principiantes (Automaize)</t>
        </is>
      </c>
      <c r="D7" s="3" t="inlineStr">
        <is>
          <t>Aprendizaje</t>
        </is>
      </c>
      <c r="E7" s="3" t="inlineStr">
        <is>
          <t>Formación</t>
        </is>
      </c>
      <c r="F7" s="5" t="inlineStr">
        <is>
          <t>Canal Automaize: N8N para Principiantes desde CERO. Entender nodos, webhooks y conexiones básicas</t>
        </is>
      </c>
      <c r="G7" s="3" t="inlineStr">
        <is>
          <t>Valentina</t>
        </is>
      </c>
      <c r="H7" s="3" t="inlineStr">
        <is>
          <t>In Progress</t>
        </is>
      </c>
      <c r="I7" s="3" t="inlineStr">
        <is>
          <t>High</t>
        </is>
      </c>
      <c r="J7" s="3" t="inlineStr">
        <is>
          <t>Todos</t>
        </is>
      </c>
      <c r="K7" s="3" t="inlineStr">
        <is>
          <t>YouTube</t>
        </is>
      </c>
      <c r="L7" s="5" t="inlineStr">
        <is>
          <t>Entender nodos, webhooks y flujos</t>
        </is>
      </c>
      <c r="M7" s="5" t="inlineStr">
        <is>
          <t>Obligatorio antes de tocar n8n</t>
        </is>
      </c>
    </row>
    <row r="8" ht="22" customHeight="1">
      <c r="A8" s="6" t="n">
        <v>1</v>
      </c>
      <c r="B8" s="7" t="n">
        <v>46106</v>
      </c>
      <c r="C8" s="6" t="inlineStr">
        <is>
          <t>Crear repositorio automation-docs</t>
        </is>
      </c>
      <c r="D8" s="6" t="inlineStr">
        <is>
          <t>Infra</t>
        </is>
      </c>
      <c r="E8" s="6" t="inlineStr">
        <is>
          <t>Setup</t>
        </is>
      </c>
      <c r="F8" s="8" t="inlineStr">
        <is>
          <t>GitHub repo público o privado + README inicial + estructura de carpetas base</t>
        </is>
      </c>
      <c r="G8" s="6" t="inlineStr">
        <is>
          <t>Valentina</t>
        </is>
      </c>
      <c r="H8" s="6" t="inlineStr">
        <is>
          <t>Pending</t>
        </is>
      </c>
      <c r="I8" s="6" t="inlineStr">
        <is>
          <t>Medium</t>
        </is>
      </c>
      <c r="J8" s="6" t="inlineStr">
        <is>
          <t>Todos</t>
        </is>
      </c>
      <c r="K8" s="6" t="inlineStr">
        <is>
          <t>GitHub</t>
        </is>
      </c>
      <c r="L8" s="8" t="inlineStr">
        <is>
          <t>Repo creado y compartido con Daniel</t>
        </is>
      </c>
      <c r="M8" s="8" t="inlineStr">
        <is>
          <t>Plan gratuito de GitHub es suficiente</t>
        </is>
      </c>
    </row>
    <row r="9" ht="22" customHeight="1">
      <c r="A9" s="3" t="n">
        <v>1</v>
      </c>
      <c r="B9" s="4" t="n">
        <v>46106</v>
      </c>
      <c r="C9" s="3" t="inlineStr">
        <is>
          <t>Comprar suscripciones (cliente paga)</t>
        </is>
      </c>
      <c r="D9" s="3" t="inlineStr">
        <is>
          <t>Infra</t>
        </is>
      </c>
      <c r="E9" s="3" t="inlineStr">
        <is>
          <t>Setup</t>
        </is>
      </c>
      <c r="F9" s="5" t="inlineStr">
        <is>
          <t>Confirmar que el cliente compra: Hostinger VPS, n8n Cloud o self-hosted, WATI/Pancake, Claude API</t>
        </is>
      </c>
      <c r="G9" s="3" t="inlineStr">
        <is>
          <t>Valentina</t>
        </is>
      </c>
      <c r="H9" s="3" t="inlineStr">
        <is>
          <t>Pending</t>
        </is>
      </c>
      <c r="I9" s="3" t="inlineStr">
        <is>
          <t>High</t>
        </is>
      </c>
      <c r="J9" s="3" t="inlineStr">
        <is>
          <t>Todos</t>
        </is>
      </c>
      <c r="K9" s="3" t="inlineStr">
        <is>
          <t>Varios</t>
        </is>
      </c>
      <c r="L9" s="5" t="inlineStr">
        <is>
          <t>Acceso a todas las herramientas</t>
        </is>
      </c>
      <c r="M9" s="5" t="inlineStr">
        <is>
          <t>Sin esto no se puede arrancar técnicamente</t>
        </is>
      </c>
    </row>
    <row r="10" ht="22" customHeight="1">
      <c r="A10" s="6" t="n">
        <v>2</v>
      </c>
      <c r="B10" s="7" t="n">
        <v>46109</v>
      </c>
      <c r="C10" s="6" t="inlineStr">
        <is>
          <t>Instalar n8n en Hostinger</t>
        </is>
      </c>
      <c r="D10" s="6" t="inlineStr">
        <is>
          <t>Infra</t>
        </is>
      </c>
      <c r="E10" s="6" t="inlineStr">
        <is>
          <t>Setup</t>
        </is>
      </c>
      <c r="F10" s="8" t="inlineStr">
        <is>
          <t>VPS KVM2 Brasil + Docker + n8n self-hosted. Configurar dominio y HTTPS</t>
        </is>
      </c>
      <c r="G10" s="6" t="inlineStr">
        <is>
          <t>Daniel</t>
        </is>
      </c>
      <c r="H10" s="6" t="inlineStr">
        <is>
          <t>Pending</t>
        </is>
      </c>
      <c r="I10" s="6" t="inlineStr">
        <is>
          <t>High</t>
        </is>
      </c>
      <c r="J10" s="6" t="inlineStr">
        <is>
          <t>Todos</t>
        </is>
      </c>
      <c r="K10" s="6" t="inlineStr">
        <is>
          <t>Hostinger / n8n</t>
        </is>
      </c>
      <c r="L10" s="8" t="inlineStr">
        <is>
          <t>n8n corriendo en producción</t>
        </is>
      </c>
      <c r="M10" s="8" t="inlineStr">
        <is>
          <t>Servidor Brasil = baja latencia Colombia</t>
        </is>
      </c>
    </row>
    <row r="11" ht="22" customHeight="1">
      <c r="A11" s="3" t="n">
        <v>2</v>
      </c>
      <c r="B11" s="4" t="n">
        <v>46110</v>
      </c>
      <c r="C11" s="3" t="inlineStr">
        <is>
          <t>Conectar Pancake a canales del piloto</t>
        </is>
      </c>
      <c r="D11" s="3" t="inlineStr">
        <is>
          <t>Captación</t>
        </is>
      </c>
      <c r="E11" s="3" t="inlineStr">
        <is>
          <t>Setup</t>
        </is>
      </c>
      <c r="F11" s="5" t="inlineStr">
        <is>
          <t>Vincular Instagram y Facebook del negocio piloto a Pancake. Configurar acceso API</t>
        </is>
      </c>
      <c r="G11" s="3" t="inlineStr">
        <is>
          <t>Daniel</t>
        </is>
      </c>
      <c r="H11" s="3" t="inlineStr">
        <is>
          <t>Pending</t>
        </is>
      </c>
      <c r="I11" s="3" t="inlineStr">
        <is>
          <t>High</t>
        </is>
      </c>
      <c r="J11" s="3" t="inlineStr">
        <is>
          <t>Piloto</t>
        </is>
      </c>
      <c r="K11" s="3" t="inlineStr">
        <is>
          <t>Pancake</t>
        </is>
      </c>
      <c r="L11" s="5" t="inlineStr">
        <is>
          <t>Mensajes llegando a Pancake</t>
        </is>
      </c>
      <c r="M11" s="5" t="inlineStr"/>
    </row>
    <row r="12" ht="22" customHeight="1">
      <c r="A12" s="6" t="n">
        <v>2</v>
      </c>
      <c r="B12" s="7" t="n">
        <v>46111</v>
      </c>
      <c r="C12" s="6" t="inlineStr">
        <is>
          <t>Primer webhook: Pancake → n8n</t>
        </is>
      </c>
      <c r="D12" s="6" t="inlineStr">
        <is>
          <t>Captación</t>
        </is>
      </c>
      <c r="E12" s="6" t="inlineStr">
        <is>
          <t>Automatización</t>
        </is>
      </c>
      <c r="F12" s="8" t="inlineStr">
        <is>
          <t>Configurar que cuando llegue un DM, Pancake dispara webhook a n8n. Verificar que llega el JSON</t>
        </is>
      </c>
      <c r="G12" s="6" t="inlineStr">
        <is>
          <t>Daniel</t>
        </is>
      </c>
      <c r="H12" s="6" t="inlineStr">
        <is>
          <t>Pending</t>
        </is>
      </c>
      <c r="I12" s="6" t="inlineStr">
        <is>
          <t>High</t>
        </is>
      </c>
      <c r="J12" s="6" t="inlineStr">
        <is>
          <t>Piloto</t>
        </is>
      </c>
      <c r="K12" s="6" t="inlineStr">
        <is>
          <t>Pancake + n8n</t>
        </is>
      </c>
      <c r="L12" s="8" t="inlineStr">
        <is>
          <t>Primer dato JSON visible en n8n</t>
        </is>
      </c>
      <c r="M12" s="8" t="inlineStr">
        <is>
          <t>Este es el 'clic' que lo cambia todo</t>
        </is>
      </c>
    </row>
    <row r="13" ht="22" customHeight="1">
      <c r="A13" s="3" t="n">
        <v>2</v>
      </c>
      <c r="B13" s="4" t="n">
        <v>46112</v>
      </c>
      <c r="C13" s="3" t="inlineStr">
        <is>
          <t>Obtener API Key de Claude</t>
        </is>
      </c>
      <c r="D13" s="3" t="inlineStr">
        <is>
          <t>IA</t>
        </is>
      </c>
      <c r="E13" s="3" t="inlineStr">
        <is>
          <t>Setup</t>
        </is>
      </c>
      <c r="F13" s="5" t="inlineStr">
        <is>
          <t>Crear cuenta en console.anthropic.com, obtener API key con créditos iniciales</t>
        </is>
      </c>
      <c r="G13" s="3" t="inlineStr">
        <is>
          <t>Valentina</t>
        </is>
      </c>
      <c r="H13" s="3" t="inlineStr">
        <is>
          <t>Pending</t>
        </is>
      </c>
      <c r="I13" s="3" t="inlineStr">
        <is>
          <t>High</t>
        </is>
      </c>
      <c r="J13" s="3" t="inlineStr">
        <is>
          <t>Todos</t>
        </is>
      </c>
      <c r="K13" s="3" t="inlineStr">
        <is>
          <t>Claude API</t>
        </is>
      </c>
      <c r="L13" s="5" t="inlineStr">
        <is>
          <t>API key activa y probada</t>
        </is>
      </c>
      <c r="M13" s="5" t="inlineStr"/>
    </row>
    <row r="14" ht="22" customHeight="1">
      <c r="A14" s="6" t="n">
        <v>2</v>
      </c>
      <c r="B14" s="7" t="n">
        <v>46113</v>
      </c>
      <c r="C14" s="6" t="inlineStr">
        <is>
          <t>Primer flujo completo: mensaje → respuesta</t>
        </is>
      </c>
      <c r="D14" s="6" t="inlineStr">
        <is>
          <t>Captación</t>
        </is>
      </c>
      <c r="E14" s="6" t="inlineStr">
        <is>
          <t>Automatización</t>
        </is>
      </c>
      <c r="F14" s="8" t="inlineStr">
        <is>
          <t>DM llega → n8n recibe → Claude genera respuesta → respuesta enviada al cliente. Prueba end-to-end</t>
        </is>
      </c>
      <c r="G14" s="6" t="inlineStr">
        <is>
          <t>Daniel</t>
        </is>
      </c>
      <c r="H14" s="6" t="inlineStr">
        <is>
          <t>Pending</t>
        </is>
      </c>
      <c r="I14" s="6" t="inlineStr">
        <is>
          <t>High</t>
        </is>
      </c>
      <c r="J14" s="6" t="inlineStr">
        <is>
          <t>Piloto</t>
        </is>
      </c>
      <c r="K14" s="6" t="inlineStr">
        <is>
          <t>n8n + Claude</t>
        </is>
      </c>
      <c r="L14" s="8" t="inlineStr">
        <is>
          <t>Respuesta automática en &lt;30 segundos</t>
        </is>
      </c>
      <c r="M14" s="8" t="inlineStr">
        <is>
          <t>El primer flujo que funciona es el hito más importante</t>
        </is>
      </c>
    </row>
    <row r="15" ht="22" customHeight="1">
      <c r="A15" s="3" t="n">
        <v>3</v>
      </c>
      <c r="B15" s="4" t="n">
        <v>46118</v>
      </c>
      <c r="C15" s="3" t="inlineStr">
        <is>
          <t>Subir catálogo de productos a Sheets</t>
        </is>
      </c>
      <c r="D15" s="3" t="inlineStr">
        <is>
          <t>Ventas</t>
        </is>
      </c>
      <c r="E15" s="3" t="inlineStr">
        <is>
          <t>Setup</t>
        </is>
      </c>
      <c r="F15" s="5" t="inlineStr">
        <is>
          <t>Organizar catálogo del negocio piloto en Google Sheets: nombre, precio, descripción, disponibilidad</t>
        </is>
      </c>
      <c r="G15" s="3" t="inlineStr">
        <is>
          <t>Valentina</t>
        </is>
      </c>
      <c r="H15" s="3" t="inlineStr">
        <is>
          <t>Pending</t>
        </is>
      </c>
      <c r="I15" s="3" t="inlineStr">
        <is>
          <t>High</t>
        </is>
      </c>
      <c r="J15" s="3" t="inlineStr">
        <is>
          <t>Piloto</t>
        </is>
      </c>
      <c r="K15" s="3" t="inlineStr">
        <is>
          <t>Google Sheets</t>
        </is>
      </c>
      <c r="L15" s="5" t="inlineStr">
        <is>
          <t>Catálogo limpio y estructurado</t>
        </is>
      </c>
      <c r="M15" s="5" t="inlineStr">
        <is>
          <t>La IA necesita esta fuente de verdad</t>
        </is>
      </c>
    </row>
    <row r="16" ht="22" customHeight="1">
      <c r="A16" s="6" t="n">
        <v>3</v>
      </c>
      <c r="B16" s="7" t="n">
        <v>46119</v>
      </c>
      <c r="C16" s="6" t="inlineStr">
        <is>
          <t>Flujo de cotización automática</t>
        </is>
      </c>
      <c r="D16" s="6" t="inlineStr">
        <is>
          <t>Ventas</t>
        </is>
      </c>
      <c r="E16" s="6" t="inlineStr">
        <is>
          <t>Automatización</t>
        </is>
      </c>
      <c r="F16" s="8" t="inlineStr">
        <is>
          <t>Cliente pide cotización → IA consulta catálogo → genera cotización → envía por WA. Sin intervención humana</t>
        </is>
      </c>
      <c r="G16" s="6" t="inlineStr">
        <is>
          <t>Daniel</t>
        </is>
      </c>
      <c r="H16" s="6" t="inlineStr">
        <is>
          <t>Pending</t>
        </is>
      </c>
      <c r="I16" s="6" t="inlineStr">
        <is>
          <t>High</t>
        </is>
      </c>
      <c r="J16" s="6" t="inlineStr">
        <is>
          <t>Piloto</t>
        </is>
      </c>
      <c r="K16" s="6" t="inlineStr">
        <is>
          <t>n8n + Claude</t>
        </is>
      </c>
      <c r="L16" s="8" t="inlineStr">
        <is>
          <t>Cotización enviada en &lt;1 minuto</t>
        </is>
      </c>
      <c r="M16" s="8" t="inlineStr">
        <is>
          <t>Hoy tardan varios minutos o días</t>
        </is>
      </c>
    </row>
    <row r="17" ht="22" customHeight="1">
      <c r="A17" s="3" t="n">
        <v>3</v>
      </c>
      <c r="B17" s="4" t="n">
        <v>46120</v>
      </c>
      <c r="C17" s="3" t="inlineStr">
        <is>
          <t>Flujo de seguimiento post-cotización</t>
        </is>
      </c>
      <c r="D17" s="3" t="inlineStr">
        <is>
          <t>Ventas</t>
        </is>
      </c>
      <c r="E17" s="3" t="inlineStr">
        <is>
          <t>Automatización</t>
        </is>
      </c>
      <c r="F17" s="5" t="inlineStr">
        <is>
          <t>Si cliente no responde en 24h → mensaje de seguimiento automático. Máximo 2 intentos</t>
        </is>
      </c>
      <c r="G17" s="3" t="inlineStr">
        <is>
          <t>Daniel</t>
        </is>
      </c>
      <c r="H17" s="3" t="inlineStr">
        <is>
          <t>Pending</t>
        </is>
      </c>
      <c r="I17" s="3" t="inlineStr">
        <is>
          <t>Medium</t>
        </is>
      </c>
      <c r="J17" s="3" t="inlineStr">
        <is>
          <t>Piloto</t>
        </is>
      </c>
      <c r="K17" s="3" t="inlineStr">
        <is>
          <t>n8n + WATI</t>
        </is>
      </c>
      <c r="L17" s="5" t="inlineStr">
        <is>
          <t>Tasa seguimiento automatizado</t>
        </is>
      </c>
      <c r="M17" s="5" t="inlineStr">
        <is>
          <t>Hoy se hace a mano o no se hace</t>
        </is>
      </c>
    </row>
    <row r="18" ht="22" customHeight="1">
      <c r="A18" s="6" t="n">
        <v>3</v>
      </c>
      <c r="B18" s="7" t="n">
        <v>46121</v>
      </c>
      <c r="C18" s="6" t="inlineStr">
        <is>
          <t>Captura de leads en Google Sheets</t>
        </is>
      </c>
      <c r="D18" s="6" t="inlineStr">
        <is>
          <t>Captación</t>
        </is>
      </c>
      <c r="E18" s="6" t="inlineStr">
        <is>
          <t>Automatización</t>
        </is>
      </c>
      <c r="F18" s="8" t="inlineStr">
        <is>
          <t>Cada nuevo contacto → n8n registra: fecha, nombre, canal, mensaje, estado en Sheets</t>
        </is>
      </c>
      <c r="G18" s="6" t="inlineStr">
        <is>
          <t>Daniel</t>
        </is>
      </c>
      <c r="H18" s="6" t="inlineStr">
        <is>
          <t>Pending</t>
        </is>
      </c>
      <c r="I18" s="6" t="inlineStr">
        <is>
          <t>High</t>
        </is>
      </c>
      <c r="J18" s="6" t="inlineStr">
        <is>
          <t>Piloto</t>
        </is>
      </c>
      <c r="K18" s="6" t="inlineStr">
        <is>
          <t>n8n + Sheets</t>
        </is>
      </c>
      <c r="L18" s="8" t="inlineStr">
        <is>
          <t>CRM básico funcionando solo</t>
        </is>
      </c>
      <c r="M18" s="8" t="inlineStr">
        <is>
          <t>Primer CRM real del negocio</t>
        </is>
      </c>
    </row>
    <row r="19" ht="22" customHeight="1">
      <c r="A19" s="3" t="n">
        <v>3</v>
      </c>
      <c r="B19" s="4" t="n">
        <v>46122</v>
      </c>
      <c r="C19" s="3" t="inlineStr">
        <is>
          <t>Prueba real con 5 clientes del cliente</t>
        </is>
      </c>
      <c r="D19" s="3" t="inlineStr">
        <is>
          <t>Testing</t>
        </is>
      </c>
      <c r="E19" s="3" t="inlineStr">
        <is>
          <t>QA</t>
        </is>
      </c>
      <c r="F19" s="5" t="inlineStr">
        <is>
          <t>Hacer 5 cotizaciones reales usando el sistema. Medir tiempo, precisión y feedback del cliente final</t>
        </is>
      </c>
      <c r="G19" s="3" t="inlineStr">
        <is>
          <t>Valentina</t>
        </is>
      </c>
      <c r="H19" s="3" t="inlineStr">
        <is>
          <t>Pending</t>
        </is>
      </c>
      <c r="I19" s="3" t="inlineStr">
        <is>
          <t>High</t>
        </is>
      </c>
      <c r="J19" s="3" t="inlineStr">
        <is>
          <t>Piloto</t>
        </is>
      </c>
      <c r="K19" s="3" t="inlineStr">
        <is>
          <t>Sistema completo</t>
        </is>
      </c>
      <c r="L19" s="5" t="inlineStr">
        <is>
          <t>Tiempo cotización, tasa respuesta</t>
        </is>
      </c>
      <c r="M19" s="5" t="inlineStr"/>
    </row>
    <row r="20" ht="22" customHeight="1">
      <c r="A20" s="6" t="n">
        <v>4</v>
      </c>
      <c r="B20" s="7" t="n">
        <v>46125</v>
      </c>
      <c r="C20" s="6" t="inlineStr">
        <is>
          <t>Flujo de cierre de venta</t>
        </is>
      </c>
      <c r="D20" s="6" t="inlineStr">
        <is>
          <t>Pedidos</t>
        </is>
      </c>
      <c r="E20" s="6" t="inlineStr">
        <is>
          <t>Automatización</t>
        </is>
      </c>
      <c r="F20" s="8" t="inlineStr">
        <is>
          <t>Cliente acepta cotización → sistema registra pedido automáticamente en Sheets con todos los datos</t>
        </is>
      </c>
      <c r="G20" s="6" t="inlineStr">
        <is>
          <t>Daniel</t>
        </is>
      </c>
      <c r="H20" s="6" t="inlineStr">
        <is>
          <t>Pending</t>
        </is>
      </c>
      <c r="I20" s="6" t="inlineStr">
        <is>
          <t>High</t>
        </is>
      </c>
      <c r="J20" s="6" t="inlineStr">
        <is>
          <t>Piloto</t>
        </is>
      </c>
      <c r="K20" s="6" t="inlineStr">
        <is>
          <t>n8n + Sheets</t>
        </is>
      </c>
      <c r="L20" s="8" t="inlineStr">
        <is>
          <t>Pedidos registrados sin intervención</t>
        </is>
      </c>
      <c r="M20" s="8" t="inlineStr"/>
    </row>
    <row r="21" ht="22" customHeight="1">
      <c r="A21" s="3" t="n">
        <v>4</v>
      </c>
      <c r="B21" s="4" t="n">
        <v>46126</v>
      </c>
      <c r="C21" s="3" t="inlineStr">
        <is>
          <t>Cálculo automático de comisión</t>
        </is>
      </c>
      <c r="D21" s="3" t="inlineStr">
        <is>
          <t>Pedidos</t>
        </is>
      </c>
      <c r="E21" s="3" t="inlineStr">
        <is>
          <t>Automatización</t>
        </is>
      </c>
      <c r="F21" s="5" t="inlineStr">
        <is>
          <t>Por cada pedido cerrado → n8n calcula comisión según el % acordado → registra en tabla de comisiones</t>
        </is>
      </c>
      <c r="G21" s="3" t="inlineStr">
        <is>
          <t>Daniel</t>
        </is>
      </c>
      <c r="H21" s="3" t="inlineStr">
        <is>
          <t>Pending</t>
        </is>
      </c>
      <c r="I21" s="3" t="inlineStr">
        <is>
          <t>High</t>
        </is>
      </c>
      <c r="J21" s="3" t="inlineStr">
        <is>
          <t>Piloto</t>
        </is>
      </c>
      <c r="K21" s="3" t="inlineStr">
        <is>
          <t>n8n + Sheets</t>
        </is>
      </c>
      <c r="L21" s="5" t="inlineStr">
        <is>
          <t>Comisión calculada automáticamente</t>
        </is>
      </c>
      <c r="M21" s="5" t="inlineStr">
        <is>
          <t>Hoy se hace a mano para 30+ pedidos</t>
        </is>
      </c>
    </row>
    <row r="22" ht="22" customHeight="1">
      <c r="A22" s="6" t="n">
        <v>4</v>
      </c>
      <c r="B22" s="7" t="n">
        <v>46127</v>
      </c>
      <c r="C22" s="6" t="inlineStr">
        <is>
          <t>Notificación de pedido al cliente</t>
        </is>
      </c>
      <c r="D22" s="6" t="inlineStr">
        <is>
          <t>Pedidos</t>
        </is>
      </c>
      <c r="E22" s="6" t="inlineStr">
        <is>
          <t>Automatización</t>
        </is>
      </c>
      <c r="F22" s="8" t="inlineStr">
        <is>
          <t>Confirmación automática por WA: número pedido, detalle, próximos pasos</t>
        </is>
      </c>
      <c r="G22" s="6" t="inlineStr">
        <is>
          <t>Daniel</t>
        </is>
      </c>
      <c r="H22" s="6" t="inlineStr">
        <is>
          <t>Pending</t>
        </is>
      </c>
      <c r="I22" s="6" t="inlineStr">
        <is>
          <t>Medium</t>
        </is>
      </c>
      <c r="J22" s="6" t="inlineStr">
        <is>
          <t>Piloto</t>
        </is>
      </c>
      <c r="K22" s="6" t="inlineStr">
        <is>
          <t>n8n + WATI</t>
        </is>
      </c>
      <c r="L22" s="8" t="inlineStr">
        <is>
          <t>Confirmación enviada en &lt;1 minuto</t>
        </is>
      </c>
      <c r="M22" s="8" t="inlineStr"/>
    </row>
    <row r="23" ht="22" customHeight="1">
      <c r="A23" s="3" t="n">
        <v>4</v>
      </c>
      <c r="B23" s="4" t="n">
        <v>46128</v>
      </c>
      <c r="C23" s="3" t="inlineStr">
        <is>
          <t>Dashboard KPIs semana 1–3</t>
        </is>
      </c>
      <c r="D23" s="3" t="inlineStr">
        <is>
          <t>Analytics</t>
        </is>
      </c>
      <c r="E23" s="3" t="inlineStr">
        <is>
          <t>Análisis</t>
        </is>
      </c>
      <c r="F23" s="5" t="inlineStr">
        <is>
          <t>Vista consolidada en Sheets: ventas, cotizaciones, conversión, comisiones acumuladas. Fórmulas dinámicas</t>
        </is>
      </c>
      <c r="G23" s="3" t="inlineStr">
        <is>
          <t>Valentina</t>
        </is>
      </c>
      <c r="H23" s="3" t="inlineStr">
        <is>
          <t>Pending</t>
        </is>
      </c>
      <c r="I23" s="3" t="inlineStr">
        <is>
          <t>High</t>
        </is>
      </c>
      <c r="J23" s="3" t="inlineStr">
        <is>
          <t>Piloto</t>
        </is>
      </c>
      <c r="K23" s="3" t="inlineStr">
        <is>
          <t>Google Sheets</t>
        </is>
      </c>
      <c r="L23" s="5" t="inlineStr">
        <is>
          <t>Dashboard actualizado en tiempo real</t>
        </is>
      </c>
      <c r="M23" s="5" t="inlineStr">
        <is>
          <t>Base del reporte mensual al cliente</t>
        </is>
      </c>
    </row>
    <row r="24" ht="22" customHeight="1">
      <c r="A24" s="6" t="n">
        <v>4</v>
      </c>
      <c r="B24" s="7" t="n">
        <v>46129</v>
      </c>
      <c r="C24" s="6" t="inlineStr">
        <is>
          <t>Revisión con cliente — checkpoint Fase 1</t>
        </is>
      </c>
      <c r="D24" s="6" t="inlineStr">
        <is>
          <t>Estrategia</t>
        </is>
      </c>
      <c r="E24" s="6" t="inlineStr">
        <is>
          <t>Revisión</t>
        </is>
      </c>
      <c r="F24" s="8" t="inlineStr">
        <is>
          <t>Presentar resultados primeras 4 semanas. Ajustar lo que no funciona. Confirmar expansión a siguiente negocio</t>
        </is>
      </c>
      <c r="G24" s="6" t="inlineStr">
        <is>
          <t>Valentina</t>
        </is>
      </c>
      <c r="H24" s="6" t="inlineStr">
        <is>
          <t>Pending</t>
        </is>
      </c>
      <c r="I24" s="6" t="inlineStr">
        <is>
          <t>High</t>
        </is>
      </c>
      <c r="J24" s="6" t="inlineStr">
        <is>
          <t>Negocios Cuanticos</t>
        </is>
      </c>
      <c r="K24" s="6" t="inlineStr">
        <is>
          <t>Reunión</t>
        </is>
      </c>
      <c r="L24" s="8" t="inlineStr">
        <is>
          <t>Cliente aprueba Fase 1 y confirma Fase 2</t>
        </is>
      </c>
      <c r="M24" s="8" t="inlineStr"/>
    </row>
    <row r="25" ht="22" customHeight="1">
      <c r="A25" s="3" t="n">
        <v>5</v>
      </c>
      <c r="B25" s="4" t="n">
        <v>46132</v>
      </c>
      <c r="C25" s="3" t="inlineStr">
        <is>
          <t>Definir perfil cliente ideal (ICP)</t>
        </is>
      </c>
      <c r="D25" s="3" t="inlineStr">
        <is>
          <t>Prospectación</t>
        </is>
      </c>
      <c r="E25" s="3" t="inlineStr">
        <is>
          <t>Análisis</t>
        </is>
      </c>
      <c r="F25" s="5" t="inlineStr">
        <is>
          <t>¿A quién queremos llegar? Sector, tamaño empresa, ciudad, cargo del decisor. Base para el scraping</t>
        </is>
      </c>
      <c r="G25" s="3" t="inlineStr">
        <is>
          <t>Valentina</t>
        </is>
      </c>
      <c r="H25" s="3" t="inlineStr">
        <is>
          <t>Pending</t>
        </is>
      </c>
      <c r="I25" s="3" t="inlineStr">
        <is>
          <t>High</t>
        </is>
      </c>
      <c r="J25" s="3" t="inlineStr">
        <is>
          <t>Piloto</t>
        </is>
      </c>
      <c r="K25" s="3" t="inlineStr">
        <is>
          <t>Manual</t>
        </is>
      </c>
      <c r="L25" s="5" t="inlineStr">
        <is>
          <t>ICP documentado</t>
        </is>
      </c>
      <c r="M25" s="5" t="inlineStr">
        <is>
          <t>Sin esto el scraping no sirve</t>
        </is>
      </c>
    </row>
    <row r="26" ht="22" customHeight="1">
      <c r="A26" s="6" t="n">
        <v>5</v>
      </c>
      <c r="B26" s="7" t="n">
        <v>46133</v>
      </c>
      <c r="C26" s="6" t="inlineStr">
        <is>
          <t>Construir robot de web scraping</t>
        </is>
      </c>
      <c r="D26" s="6" t="inlineStr">
        <is>
          <t>Prospectación</t>
        </is>
      </c>
      <c r="E26" s="6" t="inlineStr">
        <is>
          <t>Automatización</t>
        </is>
      </c>
      <c r="F26" s="8" t="inlineStr">
        <is>
          <t>n8n + herramienta scraping busca empresas por sector en directorios públicos. Extrae nombre, teléfono, email</t>
        </is>
      </c>
      <c r="G26" s="6" t="inlineStr">
        <is>
          <t>Daniel</t>
        </is>
      </c>
      <c r="H26" s="6" t="inlineStr">
        <is>
          <t>Pending</t>
        </is>
      </c>
      <c r="I26" s="6" t="inlineStr">
        <is>
          <t>High</t>
        </is>
      </c>
      <c r="J26" s="6" t="inlineStr">
        <is>
          <t>Piloto</t>
        </is>
      </c>
      <c r="K26" s="6" t="inlineStr">
        <is>
          <t>n8n + Scraping</t>
        </is>
      </c>
      <c r="L26" s="8" t="inlineStr">
        <is>
          <t>Base de datos prospectos estructurada</t>
        </is>
      </c>
      <c r="M26" s="8" t="inlineStr">
        <is>
          <t>Cámara Comercio, Páginas Amarillas, LinkedIn</t>
        </is>
      </c>
    </row>
    <row r="27" ht="22" customHeight="1">
      <c r="A27" s="3" t="n">
        <v>5</v>
      </c>
      <c r="B27" s="4" t="n">
        <v>46134</v>
      </c>
      <c r="C27" s="3" t="inlineStr">
        <is>
          <t>Flujo de contacto inteligente (no spam)</t>
        </is>
      </c>
      <c r="D27" s="3" t="inlineStr">
        <is>
          <t>Prospectación</t>
        </is>
      </c>
      <c r="E27" s="3" t="inlineStr">
        <is>
          <t>Automatización</t>
        </is>
      </c>
      <c r="F27" s="5" t="inlineStr">
        <is>
          <t>Claude personaliza mensaje por empresa. n8n envía por WA/email en horarios óptimos. Máx 1 mensaje inicial</t>
        </is>
      </c>
      <c r="G27" s="3" t="inlineStr">
        <is>
          <t>Daniel</t>
        </is>
      </c>
      <c r="H27" s="3" t="inlineStr">
        <is>
          <t>Pending</t>
        </is>
      </c>
      <c r="I27" s="3" t="inlineStr">
        <is>
          <t>High</t>
        </is>
      </c>
      <c r="J27" s="3" t="inlineStr">
        <is>
          <t>Piloto</t>
        </is>
      </c>
      <c r="K27" s="3" t="inlineStr">
        <is>
          <t>n8n + Claude</t>
        </is>
      </c>
      <c r="L27" s="5" t="inlineStr">
        <is>
          <t>Tasa apertura y respuesta prospectos</t>
        </is>
      </c>
      <c r="M27" s="5" t="inlineStr">
        <is>
          <t>Que no parezca spam — personalización es clave</t>
        </is>
      </c>
    </row>
    <row r="28" ht="22" customHeight="1">
      <c r="A28" s="6" t="n">
        <v>6</v>
      </c>
      <c r="B28" s="7" t="n">
        <v>46139</v>
      </c>
      <c r="C28" s="6" t="inlineStr">
        <is>
          <t>Flujo nutrición de prospectos</t>
        </is>
      </c>
      <c r="D28" s="6" t="inlineStr">
        <is>
          <t>Prospectación</t>
        </is>
      </c>
      <c r="E28" s="6" t="inlineStr">
        <is>
          <t>Automatización</t>
        </is>
      </c>
      <c r="F28" s="8" t="inlineStr">
        <is>
          <t>Prospecto no responde → secuencia de 3 toques en 2 semanas. Cada mensaje diferente, progresivamente más directo</t>
        </is>
      </c>
      <c r="G28" s="6" t="inlineStr">
        <is>
          <t>Daniel</t>
        </is>
      </c>
      <c r="H28" s="6" t="inlineStr">
        <is>
          <t>Pending</t>
        </is>
      </c>
      <c r="I28" s="6" t="inlineStr">
        <is>
          <t>Medium</t>
        </is>
      </c>
      <c r="J28" s="6" t="inlineStr">
        <is>
          <t>Piloto</t>
        </is>
      </c>
      <c r="K28" s="6" t="inlineStr">
        <is>
          <t>n8n + WATI</t>
        </is>
      </c>
      <c r="L28" s="8" t="inlineStr">
        <is>
          <t>Tasa conversión prospecto → cliente</t>
        </is>
      </c>
      <c r="M28" s="8" t="inlineStr"/>
    </row>
    <row r="29" ht="22" customHeight="1">
      <c r="A29" s="3" t="n">
        <v>6</v>
      </c>
      <c r="B29" s="4" t="n">
        <v>46141</v>
      </c>
      <c r="C29" s="3" t="inlineStr">
        <is>
          <t>Prueba prospectación con 20 empresas</t>
        </is>
      </c>
      <c r="D29" s="3" t="inlineStr">
        <is>
          <t>Prospectación</t>
        </is>
      </c>
      <c r="E29" s="3" t="inlineStr">
        <is>
          <t>QA</t>
        </is>
      </c>
      <c r="F29" s="5" t="inlineStr">
        <is>
          <t>Lanzar flujo real con 20 empresas del perfil ideal. Medir respuestas, interesados y reuniones agendadas</t>
        </is>
      </c>
      <c r="G29" s="3" t="inlineStr">
        <is>
          <t>Valentina</t>
        </is>
      </c>
      <c r="H29" s="3" t="inlineStr">
        <is>
          <t>Pending</t>
        </is>
      </c>
      <c r="I29" s="3" t="inlineStr">
        <is>
          <t>High</t>
        </is>
      </c>
      <c r="J29" s="3" t="inlineStr">
        <is>
          <t>Piloto</t>
        </is>
      </c>
      <c r="K29" s="3" t="inlineStr">
        <is>
          <t>Sistema completo</t>
        </is>
      </c>
      <c r="L29" s="5" t="inlineStr">
        <is>
          <t>Reuniones agendadas / respuestas</t>
        </is>
      </c>
      <c r="M29" s="5" t="inlineStr"/>
    </row>
    <row r="30" ht="22" customHeight="1">
      <c r="A30" s="6" t="n">
        <v>7</v>
      </c>
      <c r="B30" s="7" t="n">
        <v>46146</v>
      </c>
      <c r="C30" s="6" t="inlineStr">
        <is>
          <t>Elegir segundo negocio de Cuanticos</t>
        </is>
      </c>
      <c r="D30" s="6" t="inlineStr">
        <is>
          <t>Estrategia</t>
        </is>
      </c>
      <c r="E30" s="6" t="inlineStr">
        <is>
          <t>Planeación</t>
        </is>
      </c>
      <c r="F30" s="8" t="inlineStr">
        <is>
          <t>Con los resultados del piloto, definir cuál negocio de Cuanticos se automatiza a continuación</t>
        </is>
      </c>
      <c r="G30" s="6" t="inlineStr">
        <is>
          <t>Valentina</t>
        </is>
      </c>
      <c r="H30" s="6" t="inlineStr">
        <is>
          <t>Pending</t>
        </is>
      </c>
      <c r="I30" s="6" t="inlineStr">
        <is>
          <t>High</t>
        </is>
      </c>
      <c r="J30" s="6" t="inlineStr">
        <is>
          <t>Negocios Cuanticos</t>
        </is>
      </c>
      <c r="K30" s="6" t="inlineStr">
        <is>
          <t>Reunión</t>
        </is>
      </c>
      <c r="L30" s="8" t="inlineStr">
        <is>
          <t>Segundo negocio confirmado</t>
        </is>
      </c>
      <c r="M30" s="8" t="inlineStr">
        <is>
          <t>El motor ya está construido — esto es config</t>
        </is>
      </c>
    </row>
    <row r="31" ht="22" customHeight="1">
      <c r="A31" s="3" t="n">
        <v>7</v>
      </c>
      <c r="B31" s="4" t="n">
        <v>46147</v>
      </c>
      <c r="C31" s="3" t="inlineStr">
        <is>
          <t>Replicar motor al segundo negocio</t>
        </is>
      </c>
      <c r="D31" s="3" t="inlineStr">
        <is>
          <t>Infra</t>
        </is>
      </c>
      <c r="E31" s="3" t="inlineStr">
        <is>
          <t>Automatización</t>
        </is>
      </c>
      <c r="F31" s="5" t="inlineStr">
        <is>
          <t>Duplicar workflows en n8n, cambiar configuración: catálogo, número WA, % comisión, plantillas de mensajes</t>
        </is>
      </c>
      <c r="G31" s="3" t="inlineStr">
        <is>
          <t>Daniel</t>
        </is>
      </c>
      <c r="H31" s="3" t="inlineStr">
        <is>
          <t>Pending</t>
        </is>
      </c>
      <c r="I31" s="3" t="inlineStr">
        <is>
          <t>High</t>
        </is>
      </c>
      <c r="J31" s="3" t="inlineStr">
        <is>
          <t>Negocio 2</t>
        </is>
      </c>
      <c r="K31" s="3" t="inlineStr">
        <is>
          <t>n8n</t>
        </is>
      </c>
      <c r="L31" s="5" t="inlineStr">
        <is>
          <t>Segundo negocio corriendo en &lt;3 días</t>
        </is>
      </c>
      <c r="M31" s="5" t="inlineStr">
        <is>
          <t>Esta es la prueba del modelo SaaS</t>
        </is>
      </c>
    </row>
    <row r="32" ht="22" customHeight="1">
      <c r="A32" s="6" t="n">
        <v>7</v>
      </c>
      <c r="B32" s="7" t="n">
        <v>46148</v>
      </c>
      <c r="C32" s="6" t="inlineStr">
        <is>
          <t>Ajustar dashboard para múltiples negocios</t>
        </is>
      </c>
      <c r="D32" s="6" t="inlineStr">
        <is>
          <t>Analytics</t>
        </is>
      </c>
      <c r="E32" s="6" t="inlineStr">
        <is>
          <t>Automatización</t>
        </is>
      </c>
      <c r="F32" s="8" t="inlineStr">
        <is>
          <t>Consolidar KPIs de negocio 1 y 2 en una vista. Separar comisiones por negocio</t>
        </is>
      </c>
      <c r="G32" s="6" t="inlineStr">
        <is>
          <t>Daniel</t>
        </is>
      </c>
      <c r="H32" s="6" t="inlineStr">
        <is>
          <t>Pending</t>
        </is>
      </c>
      <c r="I32" s="6" t="inlineStr">
        <is>
          <t>Medium</t>
        </is>
      </c>
      <c r="J32" s="6" t="inlineStr">
        <is>
          <t>Negocios Cuanticos</t>
        </is>
      </c>
      <c r="K32" s="6" t="inlineStr">
        <is>
          <t>Google Sheets</t>
        </is>
      </c>
      <c r="L32" s="8" t="inlineStr">
        <is>
          <t>Dashboard multi-negocio funcionando</t>
        </is>
      </c>
      <c r="M32" s="8" t="inlineStr"/>
    </row>
    <row r="33" ht="22" customHeight="1">
      <c r="A33" s="3" t="n">
        <v>8</v>
      </c>
      <c r="B33" s="4" t="n">
        <v>46153</v>
      </c>
      <c r="C33" s="3" t="inlineStr">
        <is>
          <t>Revisión general — Fase 2 checkpoint</t>
        </is>
      </c>
      <c r="D33" s="3" t="inlineStr">
        <is>
          <t>Estrategia</t>
        </is>
      </c>
      <c r="E33" s="3" t="inlineStr">
        <is>
          <t>Revisión</t>
        </is>
      </c>
      <c r="F33" s="5" t="inlineStr">
        <is>
          <t>Presentar resultados de ambos negocios. Confirmar tercer negocio. Revisar modelo de comisiones con datos reales</t>
        </is>
      </c>
      <c r="G33" s="3" t="inlineStr">
        <is>
          <t>Valentina</t>
        </is>
      </c>
      <c r="H33" s="3" t="inlineStr">
        <is>
          <t>Pending</t>
        </is>
      </c>
      <c r="I33" s="3" t="inlineStr">
        <is>
          <t>High</t>
        </is>
      </c>
      <c r="J33" s="3" t="inlineStr">
        <is>
          <t>Negocios Cuanticos</t>
        </is>
      </c>
      <c r="K33" s="3" t="inlineStr">
        <is>
          <t>Reunión</t>
        </is>
      </c>
      <c r="L33" s="5" t="inlineStr">
        <is>
          <t>Cliente confirma expansión al resto</t>
        </is>
      </c>
      <c r="M33" s="5" t="inlineStr"/>
    </row>
    <row r="34" ht="22" customHeight="1">
      <c r="A34" s="6" t="n">
        <v>9</v>
      </c>
      <c r="B34" s="7" t="n">
        <v>46160</v>
      </c>
      <c r="C34" s="6" t="inlineStr">
        <is>
          <t>Flujo comparación precios Alibaba vs COL</t>
        </is>
      </c>
      <c r="D34" s="6" t="inlineStr">
        <is>
          <t>Abastecimiento</t>
        </is>
      </c>
      <c r="E34" s="6" t="inlineStr">
        <is>
          <t>Automatización</t>
        </is>
      </c>
      <c r="F34" s="8" t="inlineStr">
        <is>
          <t>Sistema busca producto en Alibaba, compara vs precio Colombia, calcula margen y recomienda si importar</t>
        </is>
      </c>
      <c r="G34" s="6" t="inlineStr">
        <is>
          <t>Daniel</t>
        </is>
      </c>
      <c r="H34" s="6" t="inlineStr">
        <is>
          <t>Pending</t>
        </is>
      </c>
      <c r="I34" s="6" t="inlineStr">
        <is>
          <t>Medium</t>
        </is>
      </c>
      <c r="J34" s="6" t="inlineStr">
        <is>
          <t>Smart Shoes / Logística</t>
        </is>
      </c>
      <c r="K34" s="6" t="inlineStr">
        <is>
          <t>n8n + Scraping</t>
        </is>
      </c>
      <c r="L34" s="8" t="inlineStr">
        <is>
          <t>Ahorro identificado por producto</t>
        </is>
      </c>
      <c r="M34" s="8" t="inlineStr">
        <is>
          <t>Repuestos y calzado son los casos más claros</t>
        </is>
      </c>
    </row>
    <row r="35" ht="22" customHeight="1">
      <c r="A35" s="3" t="n">
        <v>9</v>
      </c>
      <c r="B35" s="4" t="n">
        <v>46161</v>
      </c>
      <c r="C35" s="3" t="inlineStr">
        <is>
          <t>Base de datos proveedores validados</t>
        </is>
      </c>
      <c r="D35" s="3" t="inlineStr">
        <is>
          <t>Abastecimiento</t>
        </is>
      </c>
      <c r="E35" s="3" t="inlineStr">
        <is>
          <t>Setup</t>
        </is>
      </c>
      <c r="F35" s="5" t="inlineStr">
        <is>
          <t>Registro estructurado de proveedores Alibaba: producto, precio, tiempos entrega, calificación, historial</t>
        </is>
      </c>
      <c r="G35" s="3" t="inlineStr">
        <is>
          <t>Valentina</t>
        </is>
      </c>
      <c r="H35" s="3" t="inlineStr">
        <is>
          <t>Pending</t>
        </is>
      </c>
      <c r="I35" s="3" t="inlineStr">
        <is>
          <t>Medium</t>
        </is>
      </c>
      <c r="J35" s="3" t="inlineStr">
        <is>
          <t>Negocios Cuanticos</t>
        </is>
      </c>
      <c r="K35" s="3" t="inlineStr">
        <is>
          <t>Google Sheets</t>
        </is>
      </c>
      <c r="L35" s="5" t="inlineStr">
        <is>
          <t>Catálogo proveedores actualizado</t>
        </is>
      </c>
      <c r="M35" s="5" t="inlineStr"/>
    </row>
    <row r="36" ht="22" customHeight="1">
      <c r="A36" s="6" t="n">
        <v>10</v>
      </c>
      <c r="B36" s="7" t="n">
        <v>46167</v>
      </c>
      <c r="C36" s="6" t="inlineStr">
        <is>
          <t>Automatizar orden de importación</t>
        </is>
      </c>
      <c r="D36" s="6" t="inlineStr">
        <is>
          <t>Abastecimiento</t>
        </is>
      </c>
      <c r="E36" s="6" t="inlineStr">
        <is>
          <t>Automatización</t>
        </is>
      </c>
      <c r="F36" s="8" t="inlineStr">
        <is>
          <t>Proveedor aprobado → sistema genera orden, actualiza catálogo de productos disponibles, notifica al equipo</t>
        </is>
      </c>
      <c r="G36" s="6" t="inlineStr">
        <is>
          <t>Daniel</t>
        </is>
      </c>
      <c r="H36" s="6" t="inlineStr">
        <is>
          <t>Pending</t>
        </is>
      </c>
      <c r="I36" s="6" t="inlineStr">
        <is>
          <t>Low</t>
        </is>
      </c>
      <c r="J36" s="6" t="inlineStr">
        <is>
          <t>Negocios Cuanticos</t>
        </is>
      </c>
      <c r="K36" s="6" t="inlineStr">
        <is>
          <t>n8n + Sheets</t>
        </is>
      </c>
      <c r="L36" s="8" t="inlineStr">
        <is>
          <t>Tiempo proceso importación reducido</t>
        </is>
      </c>
      <c r="M36" s="8" t="inlineStr">
        <is>
          <t>Fase futura — validar primero con flujos manuales</t>
        </is>
      </c>
    </row>
    <row r="37" ht="22" customHeight="1">
      <c r="A37" s="3" t="n">
        <v>11</v>
      </c>
      <c r="B37" s="4" t="n">
        <v>46174</v>
      </c>
      <c r="C37" s="3" t="inlineStr">
        <is>
          <t>Prueba end-to-end todos los flujos</t>
        </is>
      </c>
      <c r="D37" s="3" t="inlineStr">
        <is>
          <t>Testing</t>
        </is>
      </c>
      <c r="E37" s="3" t="inlineStr">
        <is>
          <t>QA</t>
        </is>
      </c>
      <c r="F37" s="5" t="inlineStr">
        <is>
          <t>Simular ciclo completo por negocio: prospecto → cotización → venta → comisión → dashboard. 0 errores</t>
        </is>
      </c>
      <c r="G37" s="3" t="inlineStr">
        <is>
          <t>Daniel</t>
        </is>
      </c>
      <c r="H37" s="3" t="inlineStr">
        <is>
          <t>Pending</t>
        </is>
      </c>
      <c r="I37" s="3" t="inlineStr">
        <is>
          <t>High</t>
        </is>
      </c>
      <c r="J37" s="3" t="inlineStr">
        <is>
          <t>Todos</t>
        </is>
      </c>
      <c r="K37" s="3" t="inlineStr">
        <is>
          <t>Sistema completo</t>
        </is>
      </c>
      <c r="L37" s="5" t="inlineStr">
        <is>
          <t>0 errores en flujo completo</t>
        </is>
      </c>
      <c r="M37" s="5" t="inlineStr"/>
    </row>
    <row r="38" ht="22" customHeight="1">
      <c r="A38" s="6" t="n">
        <v>11</v>
      </c>
      <c r="B38" s="7" t="n">
        <v>46175</v>
      </c>
      <c r="C38" s="6" t="inlineStr">
        <is>
          <t>Documentar todos los workflows en GitHub</t>
        </is>
      </c>
      <c r="D38" s="6" t="inlineStr">
        <is>
          <t>Organización</t>
        </is>
      </c>
      <c r="E38" s="6" t="inlineStr">
        <is>
          <t>Documentación</t>
        </is>
      </c>
      <c r="F38" s="8" t="inlineStr">
        <is>
          <t>Exportar cada workflow de n8n como JSON. Subir a automation-core con README por flujo</t>
        </is>
      </c>
      <c r="G38" s="6" t="inlineStr">
        <is>
          <t>Valentina</t>
        </is>
      </c>
      <c r="H38" s="6" t="inlineStr">
        <is>
          <t>Pending</t>
        </is>
      </c>
      <c r="I38" s="6" t="inlineStr">
        <is>
          <t>High</t>
        </is>
      </c>
      <c r="J38" s="6" t="inlineStr">
        <is>
          <t>Todos</t>
        </is>
      </c>
      <c r="K38" s="6" t="inlineStr">
        <is>
          <t>GitHub</t>
        </is>
      </c>
      <c r="L38" s="8" t="inlineStr">
        <is>
          <t>Repo actualizado y documentado</t>
        </is>
      </c>
      <c r="M38" s="8" t="inlineStr">
        <is>
          <t>Esto es el activo reutilizable del SaaS</t>
        </is>
      </c>
    </row>
    <row r="39" ht="22" customHeight="1">
      <c r="A39" s="3" t="n">
        <v>12</v>
      </c>
      <c r="B39" s="4" t="n">
        <v>46181</v>
      </c>
      <c r="C39" s="3" t="inlineStr">
        <is>
          <t>Entrega final al cliente</t>
        </is>
      </c>
      <c r="D39" s="3" t="inlineStr">
        <is>
          <t>Estrategia</t>
        </is>
      </c>
      <c r="E39" s="3" t="inlineStr">
        <is>
          <t>Entrega</t>
        </is>
      </c>
      <c r="F39" s="5" t="inlineStr">
        <is>
          <t>Presentación de resultados completos: KPIs, comisiones generadas, flujos activos, plan de crecimiento</t>
        </is>
      </c>
      <c r="G39" s="3" t="inlineStr">
        <is>
          <t>Valentina</t>
        </is>
      </c>
      <c r="H39" s="3" t="inlineStr">
        <is>
          <t>Pending</t>
        </is>
      </c>
      <c r="I39" s="3" t="inlineStr">
        <is>
          <t>High</t>
        </is>
      </c>
      <c r="J39" s="3" t="inlineStr">
        <is>
          <t>Negocios Cuanticos</t>
        </is>
      </c>
      <c r="K39" s="3" t="inlineStr">
        <is>
          <t>Reunión</t>
        </is>
      </c>
      <c r="L39" s="5" t="inlineStr">
        <is>
          <t>Cliente aprueba entrega y renueva</t>
        </is>
      </c>
      <c r="M39" s="5" t="inlineStr"/>
    </row>
    <row r="40" ht="22" customHeight="1">
      <c r="A40" s="6" t="n">
        <v>12</v>
      </c>
      <c r="B40" s="7" t="n">
        <v>46182</v>
      </c>
      <c r="C40" s="6" t="inlineStr">
        <is>
          <t>Definir hoja de ruta siguiente trimestre</t>
        </is>
      </c>
      <c r="D40" s="6" t="inlineStr">
        <is>
          <t>Estrategia</t>
        </is>
      </c>
      <c r="E40" s="6" t="inlineStr">
        <is>
          <t>Planeación</t>
        </is>
      </c>
      <c r="F40" s="8" t="inlineStr">
        <is>
          <t>Con datos reales del primer trimestre: qué automatizar a continuación, nuevas líneas (envases, marketplace)</t>
        </is>
      </c>
      <c r="G40" s="6" t="inlineStr">
        <is>
          <t>Valentina</t>
        </is>
      </c>
      <c r="H40" s="6" t="inlineStr">
        <is>
          <t>Pending</t>
        </is>
      </c>
      <c r="I40" s="6" t="inlineStr">
        <is>
          <t>Medium</t>
        </is>
      </c>
      <c r="J40" s="6" t="inlineStr">
        <is>
          <t>Negocios Cuanticos</t>
        </is>
      </c>
      <c r="K40" s="6" t="inlineStr">
        <is>
          <t>Reunión</t>
        </is>
      </c>
      <c r="L40" s="8" t="inlineStr">
        <is>
          <t>Plan Q3 acordado</t>
        </is>
      </c>
      <c r="M40" s="8" t="inlineStr"/>
    </row>
    <row r="41" ht="2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 ht="22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2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 ht="22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2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 ht="22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2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 ht="22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2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 ht="22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2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 ht="22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2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 ht="22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2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 ht="22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2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 ht="22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2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 ht="22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2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 ht="22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2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 ht="22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2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 ht="22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2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 ht="22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2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 ht="22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2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 ht="22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2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 ht="22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2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 ht="22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2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 ht="22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2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 ht="22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2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 ht="22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2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 ht="22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2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 ht="22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2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 ht="22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2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 ht="22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2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 ht="22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2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 ht="22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2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 ht="22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2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 ht="22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2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 ht="22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2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 ht="22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2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 ht="22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2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 ht="22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2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 ht="22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2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 ht="22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2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 ht="22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2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 ht="22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2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 ht="22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2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 ht="22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2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 ht="22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</sheetData>
  <mergeCells count="1">
    <mergeCell ref="A1:M1"/>
  </mergeCells>
  <conditionalFormatting sqref="H3:H120">
    <cfRule type="expression" priority="1" dxfId="0">
      <formula>H3="Done"</formula>
    </cfRule>
    <cfRule type="expression" priority="2" dxfId="1">
      <formula>H3="In Progress"</formula>
    </cfRule>
    <cfRule type="expression" priority="3" dxfId="2">
      <formula>H3="Blocked"</formula>
    </cfRule>
    <cfRule type="expression" priority="4" dxfId="3">
      <formula>H3="Pending"</formula>
    </cfRule>
  </conditionalFormatting>
  <conditionalFormatting sqref="I3:I120">
    <cfRule type="expression" priority="5" dxfId="4">
      <formula>I3="High"</formula>
    </cfRule>
    <cfRule type="expression" priority="6" dxfId="5">
      <formula>I3="Medium"</formula>
    </cfRule>
    <cfRule type="expression" priority="7" dxfId="6">
      <formula>I3="Low"</formula>
    </cfRule>
  </conditionalFormatting>
  <dataValidations count="7">
    <dataValidation sqref="D3:D120" showDropDown="0" showInputMessage="0" showErrorMessage="0" allowBlank="1" type="list">
      <formula1>"Captación,Ventas,IA,Pedidos,Abastecimiento,Prospectación,Analytics,Infra,Organización,Estrategia,Aprendizaje,Testing"</formula1>
    </dataValidation>
    <dataValidation sqref="E3:E120" showDropDown="0" showInputMessage="0" showErrorMessage="0" allowBlank="1" type="list">
      <formula1>"Planeación,Análisis,Setup,Automatización,QA,Documentación,Formación,Revisión,Entrega"</formula1>
    </dataValidation>
    <dataValidation sqref="G3:G120" showDropDown="0" showInputMessage="0" showErrorMessage="0" allowBlank="1" type="list">
      <formula1>"Valentina,Daniel,Ambos"</formula1>
    </dataValidation>
    <dataValidation sqref="H3:H120" showDropDown="0" showInputMessage="0" showErrorMessage="0" allowBlank="1" type="list">
      <formula1>"Pending,In Progress,Done,Blocked"</formula1>
    </dataValidation>
    <dataValidation sqref="I3:I120" showDropDown="0" showInputMessage="0" showErrorMessage="0" allowBlank="1" type="list">
      <formula1>"High,Medium,Low"</formula1>
    </dataValidation>
    <dataValidation sqref="J3:J120" showDropDown="0" showInputMessage="0" showErrorMessage="0" allowBlank="1" type="list">
      <formula1>"Negocios Cuanticos,Piloto,Negocio 2,Smart Shoes,Smart Wellness,Logística,Representación,Todos"</formula1>
    </dataValidation>
    <dataValidation sqref="K3:K120" showDropDown="0" showInputMessage="0" showErrorMessage="0" allowBlank="1" type="list">
      <formula1>"n8n,Claude,Pancake,WATI,Shopify,Hostinger,Google Sheets,Google Drive,GitHub,Scraping,YouTube,Manual,Reunión,Sistema completo,Varios"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8" customWidth="1" min="3" max="3"/>
    <col width="22" customWidth="1" min="4" max="4"/>
    <col width="32" customWidth="1" min="5" max="5"/>
    <col width="22" customWidth="1" min="6" max="6"/>
    <col width="18" customWidth="1" min="7" max="7"/>
    <col width="16" customWidth="1" min="8" max="8"/>
    <col width="20" customWidth="1" min="9" max="9"/>
  </cols>
  <sheetData>
    <row r="1" ht="38" customHeight="1">
      <c r="B1" s="1" t="inlineStr">
        <is>
          <t>🗺️  ROADMAP  ·  Negocios Cuanticos  ·  Mar – Jun 2026  ·  10 Fases</t>
        </is>
      </c>
    </row>
    <row r="2" ht="24" customHeight="1">
      <c r="B2" s="2" t="inlineStr">
        <is>
          <t>Fase</t>
        </is>
      </c>
      <c r="C2" s="2" t="inlineStr">
        <is>
          <t>Período</t>
        </is>
      </c>
      <c r="D2" s="2" t="inlineStr">
        <is>
          <t>Semanas</t>
        </is>
      </c>
      <c r="E2" s="2" t="inlineStr">
        <is>
          <t>Foco principal</t>
        </is>
      </c>
      <c r="F2" s="2" t="inlineStr">
        <is>
          <t>Entregable clave</t>
        </is>
      </c>
      <c r="G2" s="2" t="inlineStr">
        <is>
          <t>Negocios</t>
        </is>
      </c>
      <c r="H2" s="2" t="inlineStr">
        <is>
          <t>Herramientas</t>
        </is>
      </c>
      <c r="I2" s="2" t="inlineStr">
        <is>
          <t>Estado</t>
        </is>
      </c>
    </row>
    <row r="3" ht="26" customHeight="1">
      <c r="B3" s="9" t="inlineStr">
        <is>
          <t>Fase 1</t>
        </is>
      </c>
      <c r="C3" s="10" t="inlineStr">
        <is>
          <t>Mar 21–27</t>
        </is>
      </c>
      <c r="D3" s="10" t="inlineStr">
        <is>
          <t>Sem 1</t>
        </is>
      </c>
      <c r="E3" s="11" t="inlineStr">
        <is>
          <t>Reunión, acuerdos y análisis</t>
        </is>
      </c>
      <c r="F3" s="12" t="inlineStr">
        <is>
          <t>Negocio piloto definido + modelo económico acordado</t>
        </is>
      </c>
      <c r="G3" s="10" t="inlineStr">
        <is>
          <t>Negocios Cuanticos</t>
        </is>
      </c>
      <c r="H3" s="10" t="inlineStr">
        <is>
          <t>Google Drive, Docs</t>
        </is>
      </c>
      <c r="I3" s="10" t="inlineStr">
        <is>
          <t>En Progreso</t>
        </is>
      </c>
    </row>
    <row r="4" ht="26" customHeight="1">
      <c r="B4" s="13" t="inlineStr">
        <is>
          <t>Fase 2</t>
        </is>
      </c>
      <c r="C4" s="14" t="inlineStr">
        <is>
          <t>Mar 28–Abr 4</t>
        </is>
      </c>
      <c r="D4" s="14" t="inlineStr">
        <is>
          <t>Sem 2</t>
        </is>
      </c>
      <c r="E4" s="6" t="inlineStr">
        <is>
          <t>Setup técnico completo</t>
        </is>
      </c>
      <c r="F4" s="8" t="inlineStr">
        <is>
          <t>n8n corriendo + Pancake conectado + primer webhook activo</t>
        </is>
      </c>
      <c r="G4" s="14" t="inlineStr">
        <is>
          <t>Todos</t>
        </is>
      </c>
      <c r="H4" s="14" t="inlineStr">
        <is>
          <t>Hostinger, n8n, Pancake</t>
        </is>
      </c>
      <c r="I4" s="14" t="inlineStr">
        <is>
          <t>Pendiente</t>
        </is>
      </c>
    </row>
    <row r="5" ht="26" customHeight="1">
      <c r="B5" s="9" t="inlineStr">
        <is>
          <t>Fase 3</t>
        </is>
      </c>
      <c r="C5" s="10" t="inlineStr">
        <is>
          <t>Abr 6–11</t>
        </is>
      </c>
      <c r="D5" s="10" t="inlineStr">
        <is>
          <t>Sem 3</t>
        </is>
      </c>
      <c r="E5" s="11" t="inlineStr">
        <is>
          <t>Cotización automática</t>
        </is>
      </c>
      <c r="F5" s="12" t="inlineStr">
        <is>
          <t>Cliente recibe cotización sin que nadie la escriba</t>
        </is>
      </c>
      <c r="G5" s="10" t="inlineStr">
        <is>
          <t>Piloto</t>
        </is>
      </c>
      <c r="H5" s="10" t="inlineStr">
        <is>
          <t>n8n, Claude, Sheets</t>
        </is>
      </c>
      <c r="I5" s="10" t="inlineStr">
        <is>
          <t>Pendiente</t>
        </is>
      </c>
    </row>
    <row r="6" ht="26" customHeight="1">
      <c r="B6" s="13" t="inlineStr">
        <is>
          <t>Fase 4</t>
        </is>
      </c>
      <c r="C6" s="14" t="inlineStr">
        <is>
          <t>Abr 13–18</t>
        </is>
      </c>
      <c r="D6" s="14" t="inlineStr">
        <is>
          <t>Sem 4</t>
        </is>
      </c>
      <c r="E6" s="6" t="inlineStr">
        <is>
          <t>Pedidos, comisiones y dashboard</t>
        </is>
      </c>
      <c r="F6" s="8" t="inlineStr">
        <is>
          <t>Comisión calculada sola + dashboard KPIs en vivo</t>
        </is>
      </c>
      <c r="G6" s="14" t="inlineStr">
        <is>
          <t>Piloto</t>
        </is>
      </c>
      <c r="H6" s="14" t="inlineStr">
        <is>
          <t>n8n, Sheets</t>
        </is>
      </c>
      <c r="I6" s="14" t="inlineStr">
        <is>
          <t>Pendiente</t>
        </is>
      </c>
    </row>
    <row r="7" ht="26" customHeight="1">
      <c r="B7" s="9" t="inlineStr">
        <is>
          <t>Fase 5</t>
        </is>
      </c>
      <c r="C7" s="10" t="inlineStr">
        <is>
          <t>Abr 20–May 1</t>
        </is>
      </c>
      <c r="D7" s="10" t="inlineStr">
        <is>
          <t>Sem 5–6</t>
        </is>
      </c>
      <c r="E7" s="11" t="inlineStr">
        <is>
          <t>Prospectación inteligente</t>
        </is>
      </c>
      <c r="F7" s="12" t="inlineStr">
        <is>
          <t>Robot encuentra y contacta 20+ prospectos/semana</t>
        </is>
      </c>
      <c r="G7" s="10" t="inlineStr">
        <is>
          <t>Piloto</t>
        </is>
      </c>
      <c r="H7" s="10" t="inlineStr">
        <is>
          <t>n8n, Claude, Scraping</t>
        </is>
      </c>
      <c r="I7" s="10" t="inlineStr">
        <is>
          <t>Pendiente</t>
        </is>
      </c>
    </row>
    <row r="8" ht="26" customHeight="1">
      <c r="B8" s="13" t="inlineStr">
        <is>
          <t>Fase 6</t>
        </is>
      </c>
      <c r="C8" s="14" t="inlineStr">
        <is>
          <t>May 4–15</t>
        </is>
      </c>
      <c r="D8" s="14" t="inlineStr">
        <is>
          <t>Sem 7–8</t>
        </is>
      </c>
      <c r="E8" s="6" t="inlineStr">
        <is>
          <t>Expansión a segundo negocio</t>
        </is>
      </c>
      <c r="F8" s="8" t="inlineStr">
        <is>
          <t>Motor replicado en &lt;3 días al segundo negocio de Cuanticos</t>
        </is>
      </c>
      <c r="G8" s="14" t="inlineStr">
        <is>
          <t>Negocio 2</t>
        </is>
      </c>
      <c r="H8" s="14" t="inlineStr">
        <is>
          <t>n8n (config)</t>
        </is>
      </c>
      <c r="I8" s="14" t="inlineStr">
        <is>
          <t>Pendiente</t>
        </is>
      </c>
    </row>
    <row r="9" ht="26" customHeight="1">
      <c r="B9" s="9" t="inlineStr">
        <is>
          <t>Fase 7</t>
        </is>
      </c>
      <c r="C9" s="10" t="inlineStr">
        <is>
          <t>May 18–29</t>
        </is>
      </c>
      <c r="D9" s="10" t="inlineStr">
        <is>
          <t>Sem 9–10</t>
        </is>
      </c>
      <c r="E9" s="11" t="inlineStr">
        <is>
          <t>Gestión de proveedores Alibaba</t>
        </is>
      </c>
      <c r="F9" s="12" t="inlineStr">
        <is>
          <t>Sistema compara precios Alibaba vs Colombia automáticamente</t>
        </is>
      </c>
      <c r="G9" s="10" t="inlineStr">
        <is>
          <t>Smart Shoes/Logística</t>
        </is>
      </c>
      <c r="H9" s="10" t="inlineStr">
        <is>
          <t>n8n, Scraping</t>
        </is>
      </c>
      <c r="I9" s="10" t="inlineStr">
        <is>
          <t>Pendiente</t>
        </is>
      </c>
    </row>
    <row r="10" ht="26" customHeight="1">
      <c r="B10" s="13" t="inlineStr">
        <is>
          <t>Fase 8</t>
        </is>
      </c>
      <c r="C10" s="14" t="inlineStr">
        <is>
          <t>Jun 1–5</t>
        </is>
      </c>
      <c r="D10" s="14" t="inlineStr">
        <is>
          <t>Sem 11</t>
        </is>
      </c>
      <c r="E10" s="6" t="inlineStr">
        <is>
          <t>QA y documentación completa</t>
        </is>
      </c>
      <c r="F10" s="8" t="inlineStr">
        <is>
          <t>0 errores en todos los flujos + repo GitHub actualizado</t>
        </is>
      </c>
      <c r="G10" s="14" t="inlineStr">
        <is>
          <t>Todos</t>
        </is>
      </c>
      <c r="H10" s="14" t="inlineStr">
        <is>
          <t>GitHub, n8n</t>
        </is>
      </c>
      <c r="I10" s="14" t="inlineStr">
        <is>
          <t>Pendiente</t>
        </is>
      </c>
    </row>
    <row r="11" ht="26" customHeight="1">
      <c r="B11" s="9" t="inlineStr">
        <is>
          <t>Fase 9</t>
        </is>
      </c>
      <c r="C11" s="10" t="inlineStr">
        <is>
          <t>Jun 8–12</t>
        </is>
      </c>
      <c r="D11" s="10" t="inlineStr">
        <is>
          <t>Sem 12</t>
        </is>
      </c>
      <c r="E11" s="11" t="inlineStr">
        <is>
          <t>Entrega y cierre Trimestre 1</t>
        </is>
      </c>
      <c r="F11" s="12" t="inlineStr">
        <is>
          <t>Presentación resultados + plan Q3 acordado</t>
        </is>
      </c>
      <c r="G11" s="10" t="inlineStr">
        <is>
          <t>Negocios Cuanticos</t>
        </is>
      </c>
      <c r="H11" s="10" t="inlineStr">
        <is>
          <t>Reunión</t>
        </is>
      </c>
      <c r="I11" s="10" t="inlineStr">
        <is>
          <t>Pendiente</t>
        </is>
      </c>
    </row>
    <row r="12" ht="26" customHeight="1">
      <c r="B12" s="15" t="inlineStr">
        <is>
          <t>Fase 10</t>
        </is>
      </c>
      <c r="C12" s="16" t="inlineStr">
        <is>
          <t>Jun–Ago</t>
        </is>
      </c>
      <c r="D12" s="16" t="inlineStr">
        <is>
          <t>Q3</t>
        </is>
      </c>
      <c r="E12" s="17" t="inlineStr">
        <is>
          <t>Escala: marketplace + envases + más</t>
        </is>
      </c>
      <c r="F12" s="18" t="inlineStr">
        <is>
          <t>Nuevas líneas automáticas según resultados Q1</t>
        </is>
      </c>
      <c r="G12" s="16" t="inlineStr">
        <is>
          <t>Nuevos negocios</t>
        </is>
      </c>
      <c r="H12" s="16" t="inlineStr">
        <is>
          <t>Stack completo</t>
        </is>
      </c>
      <c r="I12" s="16" t="inlineStr">
        <is>
          <t>Futuro</t>
        </is>
      </c>
    </row>
  </sheetData>
  <mergeCells count="1">
    <mergeCell ref="B1:I1"/>
  </mergeCells>
  <conditionalFormatting sqref="I3:I12">
    <cfRule type="expression" priority="1" dxfId="1">
      <formula>I3="En Progreso"</formula>
    </cfRule>
    <cfRule type="expression" priority="2" dxfId="3">
      <formula>I3="Pendiente"</formula>
    </cfRule>
    <cfRule type="expression" priority="3" dxfId="7">
      <formula>I3="Futuro"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</cols>
  <sheetData>
    <row r="1" ht="38" customHeight="1">
      <c r="B1" s="1" t="inlineStr">
        <is>
          <t>📊  DASHBOARD KPIs  ·  Negocios Cuanticos  ·  Actualización automática desde Tracker</t>
        </is>
      </c>
    </row>
    <row r="3" ht="22" customHeight="1">
      <c r="B3" s="19" t="inlineStr">
        <is>
          <t>AVANCE GENERAL DEL PROYECTO</t>
        </is>
      </c>
    </row>
    <row r="4" ht="22" customHeight="1">
      <c r="B4" s="20" t="inlineStr">
        <is>
          <t>Métrica</t>
        </is>
      </c>
      <c r="C4" s="20" t="inlineStr">
        <is>
          <t>Valor actual</t>
        </is>
      </c>
      <c r="D4" s="20" t="inlineStr">
        <is>
          <t>Meta</t>
        </is>
      </c>
      <c r="E4" s="20" t="inlineStr">
        <is>
          <t>% avance</t>
        </is>
      </c>
      <c r="F4" s="20" t="inlineStr">
        <is>
          <t>Semana</t>
        </is>
      </c>
      <c r="G4" s="20" t="inlineStr">
        <is>
          <t>Observación</t>
        </is>
      </c>
    </row>
    <row r="5">
      <c r="B5" s="3" t="inlineStr">
        <is>
          <t>Tareas completadas</t>
        </is>
      </c>
      <c r="C5" s="21">
        <f>COUNTIF('📋 Tracker'!H3:H120,"Done")</f>
        <v/>
      </c>
      <c r="D5" s="22" t="n">
        <v>35</v>
      </c>
      <c r="E5" s="21" t="inlineStr"/>
      <c r="F5" s="21" t="n">
        <v>1</v>
      </c>
      <c r="G5" s="21" t="inlineStr"/>
    </row>
    <row r="6">
      <c r="B6" s="6" t="inlineStr">
        <is>
          <t>Tareas en progreso</t>
        </is>
      </c>
      <c r="C6" s="14">
        <f>COUNTIF('📋 Tracker'!H3:H120,"In Progress")</f>
        <v/>
      </c>
      <c r="D6" s="23" t="inlineStr"/>
      <c r="E6" s="14" t="inlineStr"/>
      <c r="F6" s="14" t="n">
        <v>1</v>
      </c>
      <c r="G6" s="14" t="inlineStr"/>
    </row>
    <row r="7">
      <c r="B7" s="3" t="inlineStr">
        <is>
          <t>Tareas bloqueadas</t>
        </is>
      </c>
      <c r="C7" s="21">
        <f>COUNTIF('📋 Tracker'!H3:H120,"Blocked")</f>
        <v/>
      </c>
      <c r="D7" s="22" t="n">
        <v>0</v>
      </c>
      <c r="E7" s="21" t="inlineStr"/>
      <c r="F7" s="21" t="n">
        <v>1</v>
      </c>
      <c r="G7" s="21" t="inlineStr">
        <is>
          <t>Cualquier bloqueo es urgente</t>
        </is>
      </c>
    </row>
    <row r="8">
      <c r="B8" s="6" t="inlineStr">
        <is>
          <t>% completado del proyecto</t>
        </is>
      </c>
      <c r="C8" s="24">
        <f>IFERROR(COUNTIF('📋 Tracker'!H3:H120,"Done")/COUNTIF('📋 Tracker'!H3:H120,"&lt;&gt;"),0)</f>
        <v/>
      </c>
      <c r="D8" s="23" t="n">
        <v>1</v>
      </c>
      <c r="E8" s="14" t="inlineStr"/>
      <c r="F8" s="14" t="n">
        <v>1</v>
      </c>
      <c r="G8" s="14" t="inlineStr"/>
    </row>
    <row r="9">
      <c r="B9" s="3" t="inlineStr">
        <is>
          <t>High priority pendientes</t>
        </is>
      </c>
      <c r="C9" s="21">
        <f>COUNTIFS('📋 Tracker'!I3:I120,"High",'📋 Tracker'!H3:H120,"Pending")</f>
        <v/>
      </c>
      <c r="D9" s="22" t="n">
        <v>0</v>
      </c>
      <c r="E9" s="21" t="inlineStr"/>
      <c r="F9" s="21" t="n">
        <v>1</v>
      </c>
      <c r="G9" s="21" t="inlineStr">
        <is>
          <t>Estas son las urgentes</t>
        </is>
      </c>
    </row>
    <row r="11" ht="22" customHeight="1">
      <c r="B11" s="19" t="inlineStr">
        <is>
          <t>PROGRESO POR MÓDULO</t>
        </is>
      </c>
    </row>
    <row r="12">
      <c r="B12" s="20" t="inlineStr">
        <is>
          <t>Módulo</t>
        </is>
      </c>
      <c r="C12" s="20" t="inlineStr">
        <is>
          <t>Done</t>
        </is>
      </c>
      <c r="D12" s="20" t="inlineStr">
        <is>
          <t>Total</t>
        </is>
      </c>
      <c r="E12" s="20" t="inlineStr">
        <is>
          <t>% Done</t>
        </is>
      </c>
      <c r="F12" s="20" t="inlineStr">
        <is>
          <t>—</t>
        </is>
      </c>
      <c r="G12" s="20" t="inlineStr">
        <is>
          <t>Comentario</t>
        </is>
      </c>
    </row>
    <row r="13" ht="20" customHeight="1">
      <c r="B13" s="3" t="inlineStr">
        <is>
          <t>Captación</t>
        </is>
      </c>
      <c r="C13" s="22">
        <f>COUNTIFS('📋 Tracker'!D3:D120,"Captación",'📋 Tracker'!H3:H120,"Done")</f>
        <v/>
      </c>
      <c r="D13" s="22">
        <f>COUNTIFS('📋 Tracker'!D3:D120,"Captación",'📋 Tracker'!H3:H120,"&lt;&gt;")</f>
        <v/>
      </c>
      <c r="E13" s="25">
        <f>IFERROR(C13/D13,0)</f>
        <v/>
      </c>
      <c r="F13" s="21" t="inlineStr"/>
      <c r="G13" s="21" t="inlineStr"/>
    </row>
    <row r="14" ht="20" customHeight="1">
      <c r="B14" s="6" t="inlineStr">
        <is>
          <t>Ventas</t>
        </is>
      </c>
      <c r="C14" s="23">
        <f>COUNTIFS('📋 Tracker'!D3:D120,"Ventas",'📋 Tracker'!H3:H120,"Done")</f>
        <v/>
      </c>
      <c r="D14" s="23">
        <f>COUNTIFS('📋 Tracker'!D3:D120,"Ventas",'📋 Tracker'!H3:H120,"&lt;&gt;")</f>
        <v/>
      </c>
      <c r="E14" s="26">
        <f>IFERROR(C14/D14,0)</f>
        <v/>
      </c>
      <c r="F14" s="14" t="inlineStr"/>
      <c r="G14" s="14" t="inlineStr"/>
    </row>
    <row r="15" ht="20" customHeight="1">
      <c r="B15" s="3" t="inlineStr">
        <is>
          <t>IA</t>
        </is>
      </c>
      <c r="C15" s="22">
        <f>COUNTIFS('📋 Tracker'!D3:D120,"IA",'📋 Tracker'!H3:H120,"Done")</f>
        <v/>
      </c>
      <c r="D15" s="22">
        <f>COUNTIFS('📋 Tracker'!D3:D120,"IA",'📋 Tracker'!H3:H120,"&lt;&gt;")</f>
        <v/>
      </c>
      <c r="E15" s="25">
        <f>IFERROR(C15/D15,0)</f>
        <v/>
      </c>
      <c r="F15" s="21" t="inlineStr"/>
      <c r="G15" s="21" t="inlineStr"/>
    </row>
    <row r="16" ht="20" customHeight="1">
      <c r="B16" s="6" t="inlineStr">
        <is>
          <t>Pedidos</t>
        </is>
      </c>
      <c r="C16" s="23">
        <f>COUNTIFS('📋 Tracker'!D3:D120,"Pedidos",'📋 Tracker'!H3:H120,"Done")</f>
        <v/>
      </c>
      <c r="D16" s="23">
        <f>COUNTIFS('📋 Tracker'!D3:D120,"Pedidos",'📋 Tracker'!H3:H120,"&lt;&gt;")</f>
        <v/>
      </c>
      <c r="E16" s="26">
        <f>IFERROR(C16/D16,0)</f>
        <v/>
      </c>
      <c r="F16" s="14" t="inlineStr"/>
      <c r="G16" s="14" t="inlineStr"/>
    </row>
    <row r="17" ht="20" customHeight="1">
      <c r="B17" s="3" t="inlineStr">
        <is>
          <t>Abastecimiento</t>
        </is>
      </c>
      <c r="C17" s="22">
        <f>COUNTIFS('📋 Tracker'!D3:D120,"Abastecimiento",'📋 Tracker'!H3:H120,"Done")</f>
        <v/>
      </c>
      <c r="D17" s="22">
        <f>COUNTIFS('📋 Tracker'!D3:D120,"Abastecimiento",'📋 Tracker'!H3:H120,"&lt;&gt;")</f>
        <v/>
      </c>
      <c r="E17" s="25">
        <f>IFERROR(C17/D17,0)</f>
        <v/>
      </c>
      <c r="F17" s="21" t="inlineStr"/>
      <c r="G17" s="21" t="inlineStr"/>
    </row>
    <row r="18" ht="20" customHeight="1">
      <c r="B18" s="6" t="inlineStr">
        <is>
          <t>Prospectación</t>
        </is>
      </c>
      <c r="C18" s="23">
        <f>COUNTIFS('📋 Tracker'!D3:D120,"Prospectación",'📋 Tracker'!H3:H120,"Done")</f>
        <v/>
      </c>
      <c r="D18" s="23">
        <f>COUNTIFS('📋 Tracker'!D3:D120,"Prospectación",'📋 Tracker'!H3:H120,"&lt;&gt;")</f>
        <v/>
      </c>
      <c r="E18" s="26">
        <f>IFERROR(C18/D18,0)</f>
        <v/>
      </c>
      <c r="F18" s="14" t="inlineStr"/>
      <c r="G18" s="14" t="inlineStr"/>
    </row>
    <row r="19" ht="20" customHeight="1">
      <c r="B19" s="3" t="inlineStr">
        <is>
          <t>Analytics</t>
        </is>
      </c>
      <c r="C19" s="22">
        <f>COUNTIFS('📋 Tracker'!D3:D120,"Analytics",'📋 Tracker'!H3:H120,"Done")</f>
        <v/>
      </c>
      <c r="D19" s="22">
        <f>COUNTIFS('📋 Tracker'!D3:D120,"Analytics",'📋 Tracker'!H3:H120,"&lt;&gt;")</f>
        <v/>
      </c>
      <c r="E19" s="25">
        <f>IFERROR(C19/D19,0)</f>
        <v/>
      </c>
      <c r="F19" s="21" t="inlineStr"/>
      <c r="G19" s="21" t="inlineStr"/>
    </row>
    <row r="20" ht="20" customHeight="1">
      <c r="B20" s="6" t="inlineStr">
        <is>
          <t>Infra</t>
        </is>
      </c>
      <c r="C20" s="23">
        <f>COUNTIFS('📋 Tracker'!D3:D120,"Infra",'📋 Tracker'!H3:H120,"Done")</f>
        <v/>
      </c>
      <c r="D20" s="23">
        <f>COUNTIFS('📋 Tracker'!D3:D120,"Infra",'📋 Tracker'!H3:H120,"&lt;&gt;")</f>
        <v/>
      </c>
      <c r="E20" s="26">
        <f>IFERROR(C20/D20,0)</f>
        <v/>
      </c>
      <c r="F20" s="14" t="inlineStr"/>
      <c r="G20" s="14" t="inlineStr"/>
    </row>
    <row r="21" ht="20" customHeight="1">
      <c r="B21" s="3" t="inlineStr">
        <is>
          <t>Estrategia</t>
        </is>
      </c>
      <c r="C21" s="22">
        <f>COUNTIFS('📋 Tracker'!D3:D120,"Estrategia",'📋 Tracker'!H3:H120,"Done")</f>
        <v/>
      </c>
      <c r="D21" s="22">
        <f>COUNTIFS('📋 Tracker'!D3:D120,"Estrategia",'📋 Tracker'!H3:H120,"&lt;&gt;")</f>
        <v/>
      </c>
      <c r="E21" s="25">
        <f>IFERROR(C21/D21,0)</f>
        <v/>
      </c>
      <c r="F21" s="21" t="inlineStr"/>
      <c r="G21" s="21" t="inlineStr"/>
    </row>
    <row r="22" ht="20" customHeight="1">
      <c r="B22" s="6" t="inlineStr">
        <is>
          <t>Testing</t>
        </is>
      </c>
      <c r="C22" s="23">
        <f>COUNTIFS('📋 Tracker'!D3:D120,"Testing",'📋 Tracker'!H3:H120,"Done")</f>
        <v/>
      </c>
      <c r="D22" s="23">
        <f>COUNTIFS('📋 Tracker'!D3:D120,"Testing",'📋 Tracker'!H3:H120,"&lt;&gt;")</f>
        <v/>
      </c>
      <c r="E22" s="26">
        <f>IFERROR(C22/D22,0)</f>
        <v/>
      </c>
      <c r="F22" s="14" t="inlineStr"/>
      <c r="G22" s="14" t="inlineStr"/>
    </row>
    <row r="25" ht="22" customHeight="1">
      <c r="B25" s="19" t="inlineStr">
        <is>
          <t>PROYECCIÓN ECONÓMICA</t>
        </is>
      </c>
    </row>
    <row r="26">
      <c r="B26" s="20" t="inlineStr">
        <is>
          <t>Concepto</t>
        </is>
      </c>
      <c r="C26" s="20" t="inlineStr">
        <is>
          <t>Negocio piloto</t>
        </is>
      </c>
      <c r="D26" s="20" t="inlineStr">
        <is>
          <t>×2 negocios</t>
        </is>
      </c>
      <c r="E26" s="20" t="inlineStr">
        <is>
          <t>×3 negocios</t>
        </is>
      </c>
      <c r="F26" s="20" t="inlineStr">
        <is>
          <t>×5 negocios</t>
        </is>
      </c>
      <c r="G26" s="20" t="inlineStr">
        <is>
          <t>Nota</t>
        </is>
      </c>
    </row>
    <row r="27">
      <c r="B27" s="3" t="inlineStr">
        <is>
          <t>Setup fee (una vez)</t>
        </is>
      </c>
      <c r="C27" s="21" t="inlineStr">
        <is>
          <t>$2.000</t>
        </is>
      </c>
      <c r="D27" s="21" t="inlineStr">
        <is>
          <t>$2.800</t>
        </is>
      </c>
      <c r="E27" s="21" t="inlineStr">
        <is>
          <t>$3.400</t>
        </is>
      </c>
      <c r="F27" s="21" t="inlineStr">
        <is>
          <t>$5.000</t>
        </is>
      </c>
      <c r="G27" s="3" t="inlineStr">
        <is>
          <t>Desc. en negocios adicionales</t>
        </is>
      </c>
    </row>
    <row r="28">
      <c r="B28" s="6" t="inlineStr">
        <is>
          <t>Mensualidad / mes</t>
        </is>
      </c>
      <c r="C28" s="14" t="inlineStr">
        <is>
          <t>$400</t>
        </is>
      </c>
      <c r="D28" s="14" t="inlineStr">
        <is>
          <t>$800</t>
        </is>
      </c>
      <c r="E28" s="14" t="inlineStr">
        <is>
          <t>$1.200</t>
        </is>
      </c>
      <c r="F28" s="14" t="inlineStr">
        <is>
          <t>$2.000</t>
        </is>
      </c>
      <c r="G28" s="6" t="inlineStr">
        <is>
          <t>$400 por negocio activo</t>
        </is>
      </c>
    </row>
    <row r="29">
      <c r="B29" s="3" t="inlineStr">
        <is>
          <t>Comisión estimada / mes</t>
        </is>
      </c>
      <c r="C29" s="21" t="inlineStr">
        <is>
          <t>$300</t>
        </is>
      </c>
      <c r="D29" s="21" t="inlineStr">
        <is>
          <t>$700</t>
        </is>
      </c>
      <c r="E29" s="21" t="inlineStr">
        <is>
          <t>$1.100</t>
        </is>
      </c>
      <c r="F29" s="21" t="inlineStr">
        <is>
          <t>$2.000</t>
        </is>
      </c>
      <c r="G29" s="3" t="inlineStr">
        <is>
          <t>2-5% ventas generadas</t>
        </is>
      </c>
    </row>
    <row r="30">
      <c r="B30" s="27" t="inlineStr">
        <is>
          <t>Ingreso mensual total</t>
        </is>
      </c>
      <c r="C30" s="28" t="inlineStr">
        <is>
          <t>$700</t>
        </is>
      </c>
      <c r="D30" s="28" t="inlineStr">
        <is>
          <t>$1.500</t>
        </is>
      </c>
      <c r="E30" s="28" t="inlineStr">
        <is>
          <t>$2.300</t>
        </is>
      </c>
      <c r="F30" s="28" t="inlineStr">
        <is>
          <t>$4.000</t>
        </is>
      </c>
      <c r="G30" s="27" t="inlineStr">
        <is>
          <t>Mensualidad + comisión</t>
        </is>
      </c>
    </row>
    <row r="31">
      <c r="B31" s="27" t="inlineStr">
        <is>
          <t>Ingreso año 1 (12 meses)</t>
        </is>
      </c>
      <c r="C31" s="28" t="inlineStr">
        <is>
          <t>$10.400</t>
        </is>
      </c>
      <c r="D31" s="28" t="inlineStr">
        <is>
          <t>$20.800</t>
        </is>
      </c>
      <c r="E31" s="28" t="inlineStr">
        <is>
          <t>$29.600</t>
        </is>
      </c>
      <c r="F31" s="28" t="inlineStr">
        <is>
          <t>$53.000</t>
        </is>
      </c>
      <c r="G31" s="27" t="inlineStr">
        <is>
          <t>Setup + 12 mensualidades</t>
        </is>
      </c>
    </row>
  </sheetData>
  <mergeCells count="4">
    <mergeCell ref="B3:G3"/>
    <mergeCell ref="B25:G25"/>
    <mergeCell ref="B11:G11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</cols>
  <sheetData>
    <row r="1" ht="38" customHeight="1">
      <c r="B1" s="1" t="inlineStr">
        <is>
          <t>🛠️  STACK TECNOLÓGICO  ·  Negocios Cuanticos</t>
        </is>
      </c>
    </row>
    <row r="2">
      <c r="B2" s="2" t="inlineStr">
        <is>
          <t>Herramienta</t>
        </is>
      </c>
      <c r="C2" s="2" t="inlineStr">
        <is>
          <t>Propósito</t>
        </is>
      </c>
      <c r="D2" s="2" t="inlineStr">
        <is>
          <t>Costo/mes</t>
        </is>
      </c>
      <c r="E2" s="2" t="inlineStr">
        <is>
          <t>¿Quién paga?</t>
        </is>
      </c>
      <c r="F2" s="2" t="inlineStr">
        <is>
          <t>Fase</t>
        </is>
      </c>
      <c r="G2" s="2" t="inlineStr">
        <is>
          <t>Estado</t>
        </is>
      </c>
      <c r="H2" s="2" t="inlineStr">
        <is>
          <t>Notas</t>
        </is>
      </c>
    </row>
    <row r="3" ht="22" customHeight="1">
      <c r="B3" s="29" t="inlineStr">
        <is>
          <t>── INFRAESTRUCTURA ──</t>
        </is>
      </c>
      <c r="C3" s="29" t="inlineStr"/>
      <c r="D3" s="29" t="inlineStr"/>
      <c r="E3" s="29" t="inlineStr"/>
      <c r="F3" s="29" t="inlineStr"/>
      <c r="G3" s="29" t="inlineStr"/>
      <c r="H3" s="30" t="inlineStr"/>
    </row>
    <row r="4" ht="22" customHeight="1">
      <c r="B4" s="6" t="inlineStr">
        <is>
          <t>Hostinger VPS KVM2</t>
        </is>
      </c>
      <c r="C4" s="6" t="inlineStr">
        <is>
          <t>Servidor donde vive n8n</t>
        </is>
      </c>
      <c r="D4" s="6" t="inlineStr">
        <is>
          <t>$6.99</t>
        </is>
      </c>
      <c r="E4" s="6" t="inlineStr">
        <is>
          <t>Cuanticos</t>
        </is>
      </c>
      <c r="F4" s="6" t="inlineStr">
        <is>
          <t>1</t>
        </is>
      </c>
      <c r="G4" s="6" t="inlineStr">
        <is>
          <t>✅ Comprar ya</t>
        </is>
      </c>
      <c r="H4" s="8" t="inlineStr">
        <is>
          <t>Servidor Brasil — baja latencia COL</t>
        </is>
      </c>
    </row>
    <row r="5" ht="22" customHeight="1">
      <c r="B5" s="29" t="inlineStr">
        <is>
          <t>── ORQUESTACIÓN ──</t>
        </is>
      </c>
      <c r="C5" s="29" t="inlineStr"/>
      <c r="D5" s="29" t="inlineStr"/>
      <c r="E5" s="29" t="inlineStr"/>
      <c r="F5" s="29" t="inlineStr"/>
      <c r="G5" s="29" t="inlineStr"/>
      <c r="H5" s="30" t="inlineStr"/>
    </row>
    <row r="6" ht="22" customHeight="1">
      <c r="B6" s="6" t="inlineStr">
        <is>
          <t>n8n (self-hosted)</t>
        </is>
      </c>
      <c r="C6" s="6" t="inlineStr">
        <is>
          <t>Motor central de automatización</t>
        </is>
      </c>
      <c r="D6" s="6" t="inlineStr">
        <is>
          <t>$0</t>
        </is>
      </c>
      <c r="E6" s="6" t="inlineStr">
        <is>
          <t>Cuanticos</t>
        </is>
      </c>
      <c r="F6" s="6" t="inlineStr">
        <is>
          <t>1</t>
        </is>
      </c>
      <c r="G6" s="6" t="inlineStr">
        <is>
          <t>✅ Comprar ya</t>
        </is>
      </c>
      <c r="H6" s="8" t="inlineStr">
        <is>
          <t>Instalar en Hostinger con Docker</t>
        </is>
      </c>
    </row>
    <row r="7" ht="22" customHeight="1">
      <c r="B7" s="29" t="inlineStr">
        <is>
          <t>── IA ──</t>
        </is>
      </c>
      <c r="C7" s="29" t="inlineStr"/>
      <c r="D7" s="29" t="inlineStr"/>
      <c r="E7" s="29" t="inlineStr"/>
      <c r="F7" s="29" t="inlineStr"/>
      <c r="G7" s="29" t="inlineStr"/>
      <c r="H7" s="30" t="inlineStr"/>
    </row>
    <row r="8" ht="22" customHeight="1">
      <c r="B8" s="6" t="inlineStr">
        <is>
          <t>Claude API</t>
        </is>
      </c>
      <c r="C8" s="6" t="inlineStr">
        <is>
          <t>Cotizaciones, calificación, respuestas</t>
        </is>
      </c>
      <c r="D8" s="6" t="inlineStr">
        <is>
          <t>~$20-50</t>
        </is>
      </c>
      <c r="E8" s="6" t="inlineStr">
        <is>
          <t>Cuanticos</t>
        </is>
      </c>
      <c r="F8" s="6" t="inlineStr">
        <is>
          <t>2</t>
        </is>
      </c>
      <c r="G8" s="6" t="inlineStr">
        <is>
          <t>⚙️ Setup sem 2</t>
        </is>
      </c>
      <c r="H8" s="8" t="inlineStr">
        <is>
          <t>HTTP Request en n8n → api.anthropic.com</t>
        </is>
      </c>
    </row>
    <row r="9" ht="22" customHeight="1">
      <c r="B9" s="29" t="inlineStr">
        <is>
          <t>── COMUNICACIÓN ──</t>
        </is>
      </c>
      <c r="C9" s="29" t="inlineStr"/>
      <c r="D9" s="29" t="inlineStr"/>
      <c r="E9" s="29" t="inlineStr"/>
      <c r="F9" s="29" t="inlineStr"/>
      <c r="G9" s="29" t="inlineStr"/>
      <c r="H9" s="30" t="inlineStr"/>
    </row>
    <row r="10" ht="22" customHeight="1">
      <c r="B10" s="6" t="inlineStr">
        <is>
          <t>Pancake.lat</t>
        </is>
      </c>
      <c r="C10" s="6" t="inlineStr">
        <is>
          <t>Centraliza IG + FB + WA</t>
        </is>
      </c>
      <c r="D10" s="6" t="inlineStr">
        <is>
          <t>$30+</t>
        </is>
      </c>
      <c r="E10" s="6" t="inlineStr">
        <is>
          <t>Cuanticos</t>
        </is>
      </c>
      <c r="F10" s="6" t="inlineStr">
        <is>
          <t>1</t>
        </is>
      </c>
      <c r="G10" s="6" t="inlineStr">
        <is>
          <t>✅ Comprar ya</t>
        </is>
      </c>
      <c r="H10" s="8" t="inlineStr">
        <is>
          <t>Conectar canales del negocio piloto</t>
        </is>
      </c>
    </row>
    <row r="11" ht="22" customHeight="1">
      <c r="B11" s="3" t="inlineStr">
        <is>
          <t>WATI (WhatsApp BSP)</t>
        </is>
      </c>
      <c r="C11" s="3" t="inlineStr">
        <is>
          <t>WA Business API oficial Meta</t>
        </is>
      </c>
      <c r="D11" s="3" t="inlineStr">
        <is>
          <t>$49+</t>
        </is>
      </c>
      <c r="E11" s="3" t="inlineStr">
        <is>
          <t>Cuanticos</t>
        </is>
      </c>
      <c r="F11" s="3" t="inlineStr">
        <is>
          <t>2</t>
        </is>
      </c>
      <c r="G11" s="3" t="inlineStr">
        <is>
          <t>⚙️ Setup sem 2</t>
        </is>
      </c>
      <c r="H11" s="5" t="inlineStr">
        <is>
          <t>Compatible iOS y Android — reemplaza chatbot actual</t>
        </is>
      </c>
    </row>
    <row r="12" ht="22" customHeight="1">
      <c r="B12" s="29" t="inlineStr">
        <is>
          <t>── DATOS ──</t>
        </is>
      </c>
      <c r="C12" s="29" t="inlineStr"/>
      <c r="D12" s="29" t="inlineStr"/>
      <c r="E12" s="29" t="inlineStr"/>
      <c r="F12" s="29" t="inlineStr"/>
      <c r="G12" s="29" t="inlineStr"/>
      <c r="H12" s="30" t="inlineStr"/>
    </row>
    <row r="13" ht="22" customHeight="1">
      <c r="B13" s="3" t="inlineStr">
        <is>
          <t>Google Sheets</t>
        </is>
      </c>
      <c r="C13" s="3" t="inlineStr">
        <is>
          <t>CRM, pedidos, comisiones, KPIs</t>
        </is>
      </c>
      <c r="D13" s="3" t="inlineStr">
        <is>
          <t>$0</t>
        </is>
      </c>
      <c r="E13" s="3" t="inlineStr">
        <is>
          <t>Cuanticos</t>
        </is>
      </c>
      <c r="F13" s="3" t="inlineStr">
        <is>
          <t>1</t>
        </is>
      </c>
      <c r="G13" s="3" t="inlineStr">
        <is>
          <t>✅ Activo</t>
        </is>
      </c>
      <c r="H13" s="5" t="inlineStr">
        <is>
          <t>Fuente de verdad del negocio</t>
        </is>
      </c>
    </row>
    <row r="14" ht="22" customHeight="1">
      <c r="B14" s="6" t="inlineStr">
        <is>
          <t>GitHub</t>
        </is>
      </c>
      <c r="C14" s="6" t="inlineStr">
        <is>
          <t>Control de versiones y documentación</t>
        </is>
      </c>
      <c r="D14" s="6" t="inlineStr">
        <is>
          <t>$0</t>
        </is>
      </c>
      <c r="E14" s="6" t="inlineStr">
        <is>
          <t>Cuanticos</t>
        </is>
      </c>
      <c r="F14" s="6" t="inlineStr">
        <is>
          <t>1</t>
        </is>
      </c>
      <c r="G14" s="6" t="inlineStr">
        <is>
          <t>✅ Crear ya</t>
        </is>
      </c>
      <c r="H14" s="8" t="inlineStr">
        <is>
          <t>Plan gratuito es suficiente</t>
        </is>
      </c>
    </row>
    <row r="15" ht="22" customHeight="1">
      <c r="B15" s="29" t="inlineStr">
        <is>
          <t>── PRÓXIMAS FASES ──</t>
        </is>
      </c>
      <c r="C15" s="29" t="inlineStr"/>
      <c r="D15" s="29" t="inlineStr"/>
      <c r="E15" s="29" t="inlineStr"/>
      <c r="F15" s="29" t="inlineStr"/>
      <c r="G15" s="29" t="inlineStr"/>
      <c r="H15" s="30" t="inlineStr"/>
    </row>
    <row r="16" ht="22" customHeight="1">
      <c r="B16" s="6" t="inlineStr">
        <is>
          <t>Scraping tool</t>
        </is>
      </c>
      <c r="C16" s="6" t="inlineStr">
        <is>
          <t>Prospectación de empresas potenciales</t>
        </is>
      </c>
      <c r="D16" s="6" t="inlineStr">
        <is>
          <t>$0-20</t>
        </is>
      </c>
      <c r="E16" s="6" t="inlineStr">
        <is>
          <t>Cuanticos</t>
        </is>
      </c>
      <c r="F16" s="6" t="inlineStr">
        <is>
          <t>5</t>
        </is>
      </c>
      <c r="G16" s="6" t="inlineStr">
        <is>
          <t>🔒 Fase 5</t>
        </is>
      </c>
      <c r="H16" s="8" t="inlineStr">
        <is>
          <t>Directorio Cámara Comercio, LinkedIn</t>
        </is>
      </c>
    </row>
    <row r="17" ht="22" customHeight="1">
      <c r="B17" s="3" t="inlineStr">
        <is>
          <t>Retell AI</t>
        </is>
      </c>
      <c r="C17" s="3" t="inlineStr">
        <is>
          <t>Agentes de voz IA para llamadas B2B</t>
        </is>
      </c>
      <c r="D17" s="3" t="inlineStr">
        <is>
          <t>$0.07/min</t>
        </is>
      </c>
      <c r="E17" s="3" t="inlineStr">
        <is>
          <t>Cuanticos</t>
        </is>
      </c>
      <c r="F17" s="3" t="inlineStr">
        <is>
          <t>9</t>
        </is>
      </c>
      <c r="G17" s="3" t="inlineStr">
        <is>
          <t>🔒 Futuro</t>
        </is>
      </c>
      <c r="H17" s="5" t="inlineStr">
        <is>
          <t>All-inclusive (LLM+voz+telefonía)</t>
        </is>
      </c>
    </row>
    <row r="18" ht="22" customHeight="1">
      <c r="B18" s="6" t="inlineStr">
        <is>
          <t>Instantly.ai</t>
        </is>
      </c>
      <c r="C18" s="6" t="inlineStr">
        <is>
          <t>Email frío para prospectación masiva</t>
        </is>
      </c>
      <c r="D18" s="6" t="inlineStr">
        <is>
          <t>$37</t>
        </is>
      </c>
      <c r="E18" s="6" t="inlineStr">
        <is>
          <t>Cuanticos</t>
        </is>
      </c>
      <c r="F18" s="6" t="inlineStr">
        <is>
          <t>5</t>
        </is>
      </c>
      <c r="G18" s="6" t="inlineStr">
        <is>
          <t>🔒 Fase 5</t>
        </is>
      </c>
      <c r="H18" s="8" t="inlineStr">
        <is>
          <t>Calentamiento de dominio automático</t>
        </is>
      </c>
    </row>
  </sheetData>
  <mergeCells count="1">
    <mergeCell ref="B1:H1"/>
  </mergeCells>
  <conditionalFormatting sqref="G3:G25">
    <cfRule type="expression" priority="1" dxfId="8">
      <formula>G3="✅ Comprar ya"</formula>
    </cfRule>
    <cfRule type="expression" priority="2" dxfId="8">
      <formula>G3="✅ Activo"</formula>
    </cfRule>
    <cfRule type="expression" priority="3" dxfId="8">
      <formula>G3="✅ Crear ya"</formula>
    </cfRule>
    <cfRule type="expression" priority="4" dxfId="9">
      <formula>G3="⚙️ Setup sem 2"</formula>
    </cfRule>
    <cfRule type="expression" priority="5" dxfId="10">
      <formula>G3="🔒 Fase 5"</formula>
    </cfRule>
    <cfRule type="expression" priority="6" dxfId="10">
      <formula>G3="🔒 Futuro"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2026-03-20T03:50:33Z</dcterms:created>
  <dcterms:modified xmlns:dcterms="http://purl.org/dc/terms/" xmlns:xsi="http://www.w3.org/2001/XMLSchema-instance" xsi:type="dcterms:W3CDTF">2026-03-20T03:50:34Z</dcterms:modified>
</cp:coreProperties>
</file>